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227"/>
  <workbookPr/>
  <mc:AlternateContent xmlns:mc="http://schemas.openxmlformats.org/markup-compatibility/2006">
    <mc:Choice Requires="x15">
      <x15ac:absPath xmlns:x15ac="http://schemas.microsoft.com/office/spreadsheetml/2010/11/ac" url="C:\Users\carmi\Desktop\ReFair\datasets\"/>
    </mc:Choice>
  </mc:AlternateContent>
  <xr:revisionPtr revIDLastSave="0" documentId="13_ncr:1_{B1D23FAB-75F3-4E53-B05D-404BFE8708E4}" xr6:coauthVersionLast="47" xr6:coauthVersionMax="47" xr10:uidLastSave="{00000000-0000-0000-0000-000000000000}"/>
  <bookViews>
    <workbookView xWindow="-108" yWindow="-108" windowWidth="23256" windowHeight="12456" xr2:uid="{00000000-000D-0000-FFFF-FFFF00000000}"/>
  </bookViews>
  <sheets>
    <sheet name="Requirements" sheetId="2" r:id="rId1"/>
    <sheet name="Foglio1" sheetId="3" r:id="rId2"/>
  </sheets>
  <definedNames>
    <definedName name="_xlnm._FilterDatabase" localSheetId="0" hidden="1">Requirements!$A$1:$J$120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 i="2" l="1"/>
  <c r="G3" i="2"/>
  <c r="G4" i="2"/>
  <c r="G5" i="2"/>
  <c r="G6" i="2"/>
  <c r="G7" i="2"/>
  <c r="G8" i="2"/>
  <c r="G9" i="2"/>
  <c r="G10" i="2"/>
  <c r="G11" i="2"/>
  <c r="G12" i="2"/>
  <c r="G13" i="2"/>
  <c r="G14" i="2"/>
  <c r="G15" i="2"/>
  <c r="G16" i="2"/>
  <c r="G17" i="2"/>
  <c r="G18" i="2"/>
  <c r="G19" i="2"/>
  <c r="G20" i="2"/>
  <c r="G21" i="2"/>
  <c r="G22" i="2"/>
  <c r="G23" i="2"/>
  <c r="G24" i="2"/>
  <c r="G25" i="2"/>
  <c r="G26" i="2"/>
  <c r="G27" i="2"/>
  <c r="G28" i="2"/>
  <c r="G29" i="2"/>
  <c r="G30" i="2"/>
  <c r="G31" i="2"/>
  <c r="G32" i="2"/>
  <c r="G33" i="2"/>
  <c r="G34" i="2"/>
  <c r="G35" i="2"/>
  <c r="G36" i="2"/>
  <c r="G37" i="2"/>
  <c r="G38" i="2"/>
  <c r="G39" i="2"/>
  <c r="G40" i="2"/>
  <c r="G41" i="2"/>
  <c r="G42" i="2"/>
  <c r="G43" i="2"/>
  <c r="G44" i="2"/>
  <c r="G45" i="2"/>
  <c r="G46" i="2"/>
  <c r="G47" i="2"/>
  <c r="G48" i="2"/>
  <c r="G49" i="2"/>
  <c r="G50" i="2"/>
  <c r="G51" i="2"/>
  <c r="G52" i="2"/>
  <c r="G53" i="2"/>
  <c r="G54" i="2"/>
  <c r="G55" i="2"/>
  <c r="G56" i="2"/>
  <c r="G57" i="2"/>
  <c r="G58" i="2"/>
  <c r="G59" i="2"/>
  <c r="G60" i="2"/>
  <c r="G61" i="2"/>
  <c r="G62" i="2"/>
  <c r="G63" i="2"/>
  <c r="G64" i="2"/>
  <c r="G65" i="2"/>
  <c r="G66" i="2"/>
  <c r="G67" i="2"/>
  <c r="G68" i="2"/>
  <c r="G69" i="2"/>
  <c r="G70" i="2"/>
  <c r="G71" i="2"/>
  <c r="G72" i="2"/>
  <c r="G73" i="2"/>
  <c r="G74" i="2"/>
  <c r="G75" i="2"/>
  <c r="G76" i="2"/>
  <c r="G77" i="2"/>
  <c r="G78" i="2"/>
  <c r="G79" i="2"/>
  <c r="G80" i="2"/>
  <c r="G81" i="2"/>
  <c r="G82" i="2"/>
  <c r="G121" i="2" s="1"/>
  <c r="G83" i="2"/>
  <c r="G84" i="2"/>
  <c r="G85" i="2"/>
  <c r="G86" i="2"/>
  <c r="G87" i="2"/>
  <c r="G88" i="2"/>
  <c r="G89" i="2"/>
  <c r="G90" i="2"/>
  <c r="G91" i="2"/>
  <c r="G92" i="2"/>
  <c r="G93" i="2"/>
  <c r="G94" i="2"/>
  <c r="G95" i="2"/>
  <c r="G96" i="2"/>
  <c r="G97" i="2"/>
  <c r="G98" i="2"/>
  <c r="G99" i="2"/>
  <c r="G100" i="2"/>
  <c r="G101" i="2"/>
  <c r="G102" i="2"/>
  <c r="G103" i="2"/>
  <c r="G104" i="2"/>
  <c r="G105" i="2"/>
  <c r="G106" i="2"/>
  <c r="G107" i="2"/>
  <c r="G108" i="2"/>
  <c r="G109" i="2"/>
  <c r="G110" i="2"/>
  <c r="G111" i="2"/>
  <c r="G112" i="2"/>
  <c r="G113" i="2"/>
  <c r="G114" i="2"/>
  <c r="G115" i="2"/>
  <c r="G116" i="2"/>
  <c r="G117" i="2"/>
  <c r="G118" i="2"/>
  <c r="G119" i="2"/>
  <c r="G120" i="2"/>
</calcChain>
</file>

<file path=xl/sharedStrings.xml><?xml version="1.0" encoding="utf-8"?>
<sst xmlns="http://schemas.openxmlformats.org/spreadsheetml/2006/main" count="1760" uniqueCount="418">
  <si>
    <t>Domain</t>
  </si>
  <si>
    <t>Cardiology</t>
  </si>
  <si>
    <t>Plant Science</t>
  </si>
  <si>
    <t>Transportation</t>
  </si>
  <si>
    <t>Information Systems</t>
  </si>
  <si>
    <t>Law</t>
  </si>
  <si>
    <t>Finance &amp; Marketing</t>
  </si>
  <si>
    <t>Psychology</t>
  </si>
  <si>
    <t>Biology</t>
  </si>
  <si>
    <t xml:space="preserve">Economics </t>
  </si>
  <si>
    <t>Political Science</t>
  </si>
  <si>
    <t>News</t>
  </si>
  <si>
    <t>Movies</t>
  </si>
  <si>
    <t>Computer Vision</t>
  </si>
  <si>
    <t>Participant ID</t>
  </si>
  <si>
    <t>Original Requirement</t>
  </si>
  <si>
    <t>Translation</t>
  </si>
  <si>
    <t>User Story</t>
  </si>
  <si>
    <t>Task 1</t>
  </si>
  <si>
    <t>Task 2</t>
  </si>
  <si>
    <t>Task 3</t>
  </si>
  <si>
    <t>Participant M</t>
  </si>
  <si>
    <t>Il sistema deve utilizzare un algoritmo di filtraggio collaborativo per selezionare i direttori del casting per specifiche attività di selezione del casting in base alle capacità, all’esperienza e alle preferenze.</t>
  </si>
  <si>
    <t>The system must use a collaborative filtering algorithm to select casting directors for specific casting selection activities based on their abilities, experience, and preferences.</t>
  </si>
  <si>
    <t>As a casting director, I want the system to recommend me for specific casting selection activities based on my abilities, experience, and preferences, so that I can increase my chances of being selected for projects that match my expertise.</t>
  </si>
  <si>
    <t>matching</t>
  </si>
  <si>
    <t>classification</t>
  </si>
  <si>
    <t>clustering</t>
  </si>
  <si>
    <t>Participant F</t>
  </si>
  <si>
    <t>The system must be able to preprocess and clean collected advertising data. This involves outlier detection, data imputation, data normalization, removing any inconsistencies or missing values that could affect the accuracy of the ad ranking and placement optimization.</t>
  </si>
  <si>
    <t>As an advertising data analyst, I want the system to preprocess and clean collected advertising data, including outlier detection, data imputation, data normalization, and removing any inconsistencies or missing values, so that the accuracy of the ad ranking and placement optimization can be improved.</t>
  </si>
  <si>
    <t>advertising</t>
  </si>
  <si>
    <t>anomaly detection</t>
  </si>
  <si>
    <t>Participant C</t>
  </si>
  <si>
    <t>Il sistema deve utilizzare algoritmi di classificazione in modo da distinguere trasmissioni di dati regolari e trasmissioni di dati anomali per la predizione di eventuali guasti e risolverli prima che si verifichino.</t>
  </si>
  <si>
    <t>The system must use classification algorithms to distinguish between regular and anomalous data transmissions for predicting and resolving potential failures before they occur.</t>
  </si>
  <si>
    <t>As a network administrator, I want the system to distinguish between regular and anomalous data transmissions using classification algorithms, so that potential failures can be predicted and resolved before they occur, and network security can be maintained.</t>
  </si>
  <si>
    <t>Participant E</t>
  </si>
  <si>
    <t>The system must automatically detect any errors or problems in the processing and report them.</t>
  </si>
  <si>
    <t>As a machine learning engineer, I want the system to automatically detect any errors or problems in the processing and report them, so that I can improve the accuracy and performance of the computer vision algorithms.</t>
  </si>
  <si>
    <t>entity resolution</t>
  </si>
  <si>
    <t>Participant J</t>
  </si>
  <si>
    <t>Analisi del rischio legale: il sistema deve essere in grado di analizzare i rischi legali associati a un contratto o accordo, identificando possibili lacune legali e potenziali rischi.</t>
  </si>
  <si>
    <t>Analysis of legal risk: The system must be able to analyze legal risks associated with a contract or agreement, identifying possible legal gaps and potential risks.</t>
  </si>
  <si>
    <t>As a legal risk manager, I want the system to analyze legal risks associated with a contract or agreement, identifying possible legal gaps and potential risks, so that I can mitigate legal risks for the organization.</t>
  </si>
  <si>
    <t>bias detection in language models</t>
  </si>
  <si>
    <t>bias detection in word embeddings</t>
  </si>
  <si>
    <t>Participant N</t>
  </si>
  <si>
    <t>As a user of the machine learning system, I want the system to preprocess and clean the data to remove noise, irrelevant information, and duplicates, so that I can work with high-quality data that is free from noise and redundancy.</t>
  </si>
  <si>
    <t>As a news editor, I want the machine learning system to preprocess and clean news data to remove noise, irrelevant information, and duplicates, ensuring that the data is of high quality and free from redundancy.</t>
  </si>
  <si>
    <t>Participant S</t>
  </si>
  <si>
    <t>Come sistema, voglio implementare algoritmi di classificazione, come il rating Elo o il ranking bayesiano, per classificare squadre o giocatori in base alle loro prestazioni passate in modo che il modello possa prevedere i risultati futuri.</t>
  </si>
  <si>
    <t>As a system, I want to implement classification algorithms, such as Elo rating or Bayesian ranking, to classify teams or players based on their past performances so that the model can predict future results.</t>
  </si>
  <si>
    <t>As a sports fan or journalist, I want the system to classify teams or players based on their past performances, using algorithms such as Elo rating or Bayesian ranking, so that I can make informed predictions about future results and create engaging content.</t>
  </si>
  <si>
    <t>Sport</t>
  </si>
  <si>
    <t>ranking</t>
  </si>
  <si>
    <t>Come sistema voglio poter utilizzare piattaforme di elaborazione basate su cloud e big data analytics in modo che il modello possa gestire grandi quantità di dati e ottenere regressioni e classifiche scalabili ed efficienti.</t>
  </si>
  <si>
    <t>As a system, I want to be able to use cloud-based processing platforms and big data analytics so that the model can handle large amounts of data and obtain scalable and efficient regressions and classifications.</t>
  </si>
  <si>
    <t>As a data analyst or researcher in the sports domain, I want the system to be able to use cloud-based processing platforms and big data analytics, so that the model can handle large amounts of sports data and obtain scalable and efficient regressions and classifications, for making timely and accurate predictions.</t>
  </si>
  <si>
    <t>regression</t>
  </si>
  <si>
    <t>Participant A</t>
  </si>
  <si>
    <t>The application shall leverage cloud-based computing platforms and big data analytics to handle the high dimensionality of omics data and achieve scalable and efficient classification and clustering.</t>
  </si>
  <si>
    <t>As a biologist, I want to leverage cloud-based computing platforms and big data analytics to handle the high dimensionality of omics data and achieve scalable and efficient classification and clustering, so that I can analyze large-scale genomic datasets and gain insights into the mechanisms underlying cancer subtypes.</t>
  </si>
  <si>
    <t>As a user of the machine learning system, I want the system to evaluate the performance of different machine learning algorithms and techniques for clustering and summarization tasks, so that I can choose the algorithm or technique that performs best on my dataset.</t>
  </si>
  <si>
    <t>As a machine learning practitioner, I want the system to evaluate and compare the performance of different clustering and summarization algorithms, so that I can select the best algorithm for my specific news data and analytical needs.</t>
  </si>
  <si>
    <t>data summarization</t>
  </si>
  <si>
    <t>As a user of the machine learning system, I want the system to tune the hyperparameters of the machine learning algorithms used for clustering and summarization tasks, so that I can achieve better performance on my dataset.</t>
  </si>
  <si>
    <t>As a machine learning engineer, I want the system to optimize the hyperparameters of the machine learning algorithms used for clustering and summarization tasks, ensuring that the system achieves the best performance possible for my news data.</t>
  </si>
  <si>
    <t>As a user, I need the machine learning system to utilize cloud-based computing platforms and big data analytics in order to handle the high dimensionality of news data, so that I can achieve efficient and scalable clustering and summarization.</t>
  </si>
  <si>
    <t>As a user of the machine learning system, I need it to leverage cloud-based computing platforms and big data analytics to handle the high volume and dimensionality of news data, enabling me to perform efficient and scalable clustering and summarization.</t>
  </si>
  <si>
    <t>Participant K</t>
  </si>
  <si>
    <t>The system shall be able to handle unstructured legal text data cases, law, contracts, and legislative documents in order to provide accurate sentiment analysis and representation learning results.</t>
  </si>
  <si>
    <t>As a legal professional, I want the system to handle unstructured legal text data, such as cases, laws, contracts, and legislative documents, so that I can get accurate sentiment analysis and representation learning results.</t>
  </si>
  <si>
    <t>sentiment analysis</t>
  </si>
  <si>
    <t>Participant P</t>
  </si>
  <si>
    <t>The system shall validate the trained model and obtain metrics related to the quality of the electoral districting process, like political representation and the fairness and equity of decisions made</t>
  </si>
  <si>
    <t>As a Political Science official, I want the system to validate the trained model and obtain metrics related to the quality of the electoral districting process, such as political representation and the fairness and equity of decisions made.</t>
  </si>
  <si>
    <t>representation learning</t>
  </si>
  <si>
    <t>districting</t>
  </si>
  <si>
    <t>The system must automatically adapt to lighting conditions and image/video quality to ensure system flexibility in different situations.</t>
  </si>
  <si>
    <t>As a surveillance system operator, I want the system to automatically adapt to lighting conditions and image/video quality, so that I can use the system in different environments and lighting conditions to monitor activities and ensure safety.</t>
  </si>
  <si>
    <t>Participant H</t>
  </si>
  <si>
    <t>The system shall provide the ability to select the specific machine learning algorithm for predicting the price of financial products</t>
  </si>
  <si>
    <t>As a quant researcher, I want the ability to select the specific machine learning algorithm for predicting the price of financial products, so that I can choose the best algorithm for my investment needs.</t>
  </si>
  <si>
    <t>pricing</t>
  </si>
  <si>
    <t>Participant R</t>
  </si>
  <si>
    <t>As an ML-intensive application, I want to leverage cloud-based computing platforms and big data analytics to handle the massive amounts of data and achieve scalable and efficient regression and ranking for athlete performance predictions.</t>
  </si>
  <si>
    <t>As a software developer, I want to leverage cloud-based computing platforms and big data analytics to achieve scalable and efficient regression and ranking for athlete performance predictions.</t>
  </si>
  <si>
    <t>Participant I</t>
  </si>
  <si>
    <t>Il sistema deve essere in grado di acquisire, elaborare e analizzare dati relativi ad una rete sociale.</t>
  </si>
  <si>
    <t>The system must be capable of acquiring, processing, and analyzing data related to a social network.</t>
  </si>
  <si>
    <t>As a social media analyst, I want the system to acquire, process, and analyze data from a social network so that I can identify trends and patterns in user behavior.</t>
  </si>
  <si>
    <t>The system shall be able to handle large volumes of financial and market data, including historical stock prices, economic indicators, and company financial reports to accurately predict the pricing of financial products</t>
  </si>
  <si>
    <t>As a quantitative analyst in the finance industry, I want the system to be able to handle large volumes of financial and market data, including historical stock prices, economic indicators, and company financial reports, to accurately predict the pricing of financial products, so that I can rely on the accuracy of the predictions.</t>
  </si>
  <si>
    <t>spatio-temporal process learning</t>
  </si>
  <si>
    <t>Participant T</t>
  </si>
  <si>
    <t>Il modello di ML deve poter essere indipendente dal dataset in input, in modo da poter accettare dataset modificati da algoritmi di feature selection</t>
  </si>
  <si>
    <t>The ML model should be able to be independent from the input dataset, so that it can accept datasets modified by feature selection algorithms.</t>
  </si>
  <si>
    <t>As a transportation analyst, I want the ML model to be able to accept datasets modified by feature selection algorithms, so that I can use the most relevant features for risk evaluation.</t>
  </si>
  <si>
    <t>risk assessment</t>
  </si>
  <si>
    <t>subset selection</t>
  </si>
  <si>
    <t>The system must be capable of extracting and collecting data from large-scale advertising sources, such as online ads, billboards, or television commercials.</t>
  </si>
  <si>
    <t>As an economic analyst, I want the system to extract and collect data from large-scale advertising sources (e.g. online ads, billboards, TV commercials), so that I can analyze and understand the trends and patterns in the advertising industry.</t>
  </si>
  <si>
    <t>Il sistema deve essere in grado di personalizzare messaggi pubblicitari per i nodi più influenti della rete sociale.</t>
  </si>
  <si>
    <t>The system must be capable of personalizing advertising messages for the most influential nodes in the social network.</t>
  </si>
  <si>
    <t>As a digital marketer, I want the system to personalize advertising messages for the most influential nodes in the social network so that I can increase the effectiveness of my campaigns.</t>
  </si>
  <si>
    <t>Il sistema deve essere in grado di adattarsi ai cambiamenti nella rete sociale per garantire l'efficacia continua delle strategie di pubblicità.</t>
  </si>
  <si>
    <t>The system must be capable of adapting to changes in the social network to ensure the continuous effectiveness of advertising strategies.</t>
  </si>
  <si>
    <t>As a product manager, I want the system to adapt to changes in the social network to ensure the continuous effectiveness of advertising strategies and user engagement.</t>
  </si>
  <si>
    <t>Participant B</t>
  </si>
  <si>
    <t>Il sistema deve processare segnali ECG</t>
  </si>
  <si>
    <t>The system must process ECG signals.</t>
  </si>
  <si>
    <t>As a cardiologist, I want the system to process ECG signals so that I can analyze the electrical activity of a patient's heart and detect any abnormalities.</t>
  </si>
  <si>
    <t>Il sistema deve processare segnali Echo</t>
  </si>
  <si>
    <t>The system must process Echo signals.</t>
  </si>
  <si>
    <t>As a cardiologist, I want the system to process Echo signals so that I can analyze the structure and function of a patient's heart and detect any abnormalities.</t>
  </si>
  <si>
    <t>Il sistema deve individuare pattern che possono indicare la presenza di malattie cardiache nei segnali Echo</t>
  </si>
  <si>
    <t>The system must identify patterns in Echo signals that may indicate the presence of cardiac disease.</t>
  </si>
  <si>
    <t>As a cardiologist, I want the system to identify patterns in Echo signals that may indicate the presence of cardiac disease so that I can diagnose and treat patients accurately.</t>
  </si>
  <si>
    <t>Il sistema deve riconoscere anomalie nei segnali ECG</t>
  </si>
  <si>
    <t>The system must recognize anomalies in ECG signals.</t>
  </si>
  <si>
    <t>As a cardiologist, I want the system to recognize anomalies in ECG signals so that I can identify any irregularities in a patient's heart activity and determine the appropriate treatment.</t>
  </si>
  <si>
    <t>Il sistema deve riconoscere anomalie nei segnali Echo</t>
  </si>
  <si>
    <t>The system must recognize anomalies in Echo signals.</t>
  </si>
  <si>
    <t>As a cardiologist, I want the system to recognize anomalies in Echo signals so that I can identify any irregularities in a patient's heart structure or function and determine the appropriate treatment.</t>
  </si>
  <si>
    <t>The system shall identify and handle any outliers or extreme values in the data that may affect the accuracy of price predictions</t>
  </si>
  <si>
    <t>As a data scientist in the finance industry, I want the system to identify and handle any outliers or extreme values in the data that may affect the accuracy of price predictions, so that I can ensure the accuracy of the predictions.</t>
  </si>
  <si>
    <t>Il sistema deve essere in grado di fornire un'analisi dettagliata sulla diffusione dell'informazione all'interno della rete sociale.</t>
  </si>
  <si>
    <t>The system must be capable of providing a detailed analysis of information diffusion within the social network.</t>
  </si>
  <si>
    <t>As a data analyst, I want the system to provide a detailed analysis of information diffusion within the social network so that I can understand how users are interacting with the system.</t>
  </si>
  <si>
    <t>Identificazione di problemi legali: il sistema deve essere in grado di identificare problemi legali nei testi, come ambiguità, contraddizioni o mancanza di coerenza.</t>
  </si>
  <si>
    <t>Identification of legal issues: The system must be able to identify legal issues in texts, such as ambiguity, contradictions, or lack of coherence.</t>
  </si>
  <si>
    <t>As a legal expert, I want the system to identify legal issues in texts, such as ambiguity or contradictions, so that I can ensure the accuracy and coherence of legal documents.</t>
  </si>
  <si>
    <t>Participant Q</t>
  </si>
  <si>
    <t>Post Bias Identification: The system must recognize through Natural Language Processing algorithms the potential post bias</t>
  </si>
  <si>
    <t>As a cognitive psychologist, I want the system to recognize potential post bias through Natural Language Processing algorithms so that I can understand the cognitive processes underlying the interpretation of biased information by individuals in my research on cognitive biases.</t>
  </si>
  <si>
    <t>The application shall use supervised classification algorithms such as random forest, logistic regression, or deep learning neural networks to classify cancer subtypes based on gene expression profiles.</t>
  </si>
  <si>
    <t>As a biologist, I want to use supervised classification algorithms such as random forest, logistic regression, or deep learning neural networks to classify cancer subtypes based on gene expression profiles, so that I can accurately identify different cancer subtypes and potentially develop targeted therapies.</t>
  </si>
  <si>
    <t>The application shall provide accurate classification results with a minimum accuracy of 90% for binary classification problems, as evaluated by metrics such as F1-score, Recall, Precision, Accuracy or Mean squared error.</t>
  </si>
  <si>
    <t>As a biologist, I want the application to provide accurate classification results with a minimum accuracy of 90% for binary classification problems, as evaluated by metrics such as F1-score, Recall, Precision, Accuracy or Mean squared error, so that I can trust the model's results and make informed decisions based on the predictions.</t>
  </si>
  <si>
    <t>The application shall use interpretability techniques such as feature importance scores, decision trees, or saliency maps to understand the underlying biological mechanisms and validate the model's predictions. This can help build trust in the model's results and provide insights into the biological mechanisms underlying cancer subtypes. Furthermore high-dimensional genomic data can lead to spurious correlations and false discoveries, and in these cases interpretability can also help identify and remove them by identifying the genes and pathways that are driving the classification results.</t>
  </si>
  <si>
    <t>As a biologist, I want the application to use interpretability techniques such as feature importance scores, decision trees, or saliency maps to understand the underlying biological mechanisms and validate the model's predictions, so that I can gain insights into the biological mechanisms underlying cancer subtypes and identify the genes and pathways driving the classification results.</t>
  </si>
  <si>
    <t>Il sistema dovrebbe utilizzare algoritmi di classificazione per classificare i pacchetti di dati in base alle priorità e indirizzarli in modo appropriato per evitare la congestione di rete.</t>
  </si>
  <si>
    <t>The system should use classification algorithms to categorize data packets based on priority and route them appropriately to avoid network congestion.</t>
  </si>
  <si>
    <t>As a network administrator, I want the system to categorize data packets based on priority using classification algorithms and route them appropriately to avoid network congestion, so that high-priority data can be processed first and network performance can be maintained.</t>
  </si>
  <si>
    <t>Classificazione dei documenti legali: il sistema deve essere in grado di classificare diversi tipi di documenti legali, come contratti, azioni legali, sentenze, tra gli altri, per facilitarne la gestione e la ricerca.</t>
  </si>
  <si>
    <t>Classification of legal documents: The system must be able to classify different types of legal documents, such as contracts, legal actions, judgments, among others, to facilitate their management and retrieval.</t>
  </si>
  <si>
    <t>As a law firm administrator, I want the system to classify different types of legal documents so that I can easily manage and retrieve them.</t>
  </si>
  <si>
    <t xml:space="preserve">Il sistema deve utilizzare degli algoritmi per la classificazione delle competenze di un attore al fine di comprendere similarità tra i candidati ed affinità con un determinato ruolo. </t>
  </si>
  <si>
    <t>The system must use algorithms for the classification of an actor's skills to understand similarities between candidates and affinity with a particular role.</t>
  </si>
  <si>
    <t>As a casting director, I want the system to use algorithms for the classification of an actor's skills to understand similarities between candidates and affinity with a particular role, so that I can make better casting decisions and increase the chances of producing successful films.</t>
  </si>
  <si>
    <t xml:space="preserve">Il sistema deve utilizzare degli algoritmi per la classificazione delle competenze di un direttore di casting, al fine di comprendere similarità tra i candidati e affinità di copertura richieste. </t>
  </si>
  <si>
    <t>The system must use algorithms for the classification of a casting director's skills to understand similarities between candidates and required coverage affinity.</t>
  </si>
  <si>
    <t>As a producer, I want the system to use algorithms for the classification of a casting director's skills to understand similarities between candidates and required coverage affinity, so that I can ensure that the right casting director is selected for the right project.</t>
  </si>
  <si>
    <t>The application shall use unsupervised clustering algorithms such as K-means, hierarchical clustering, or principal component analysis to identify molecular subtypes of cancer based on genomic data.</t>
  </si>
  <si>
    <t>As a biologist, I want to use unsupervised clustering algorithms such as K-means, hierarchical clustering, or principal component analysis to identify molecular subtypes of cancer based on genomic data, so that I can gain insights into the underlying biological mechanisms driving cancer subtypes.</t>
  </si>
  <si>
    <t xml:space="preserve">The application must access to large-scale genomic datasets such as The Cancer Genome Atlas (TCGA) or International Cancer Genome Consortium (ICGC) to get the data necessary to perform this task. </t>
  </si>
  <si>
    <t>As a biologist, I want to access large-scale genomic datasets such as The Cancer Genome Atlas (TCGA) or International Cancer Genome Consortium (ICGC) to get the data necessary to perform this task, so that I can analyze a diverse range of cancer types and gain a comprehensive understanding of cancer biology.</t>
  </si>
  <si>
    <t>Il sistema deve sfruttare algoritmi di clustering di attività per monitorare la topologia delle reti di computer e identificare potenziali attività insolite.</t>
  </si>
  <si>
    <t>The system must use clustering algorithms to monitor computer network topology and identify potential unusual activity.</t>
  </si>
  <si>
    <t>As a network administrator, I want the system to monitor the network topology and identify unusual activity using clustering algorithms, so that I can take necessary actions to prevent network security breaches.</t>
  </si>
  <si>
    <t>As a user of the machine learning system, I want the system to use different clustering techniques such as K-means and Hierarchical clustering to group similar articles together based on their content,so that I can choose the clustering technique that best fits my needs.</t>
  </si>
  <si>
    <t>As a news publisher, I want the machine learning system to use a range of clustering techniques, such as K-means and Hierarchical clustering, to group similar news articles together based on their content, allowing me to efficiently categorize and organize news content for publishing.</t>
  </si>
  <si>
    <t>Estrazione automatica di informazioni rilevanti da testi legali: il sistema deve essere in grado di identificare ed estrarre informazioni chiave da testi legali, come nomi di persone, date, luoghi, termini legali specifici, tra gli altri.</t>
  </si>
  <si>
    <t>Automatic extraction of relevant information from legal texts: The system must be able to identify and extract key information from legal texts, such as names of people, dates, locations, specific legal terms, among others.</t>
  </si>
  <si>
    <t>As a legal researcher, I want the system to extract relevant information from legal texts so that I can quickly find the information I need for my research.</t>
  </si>
  <si>
    <t>Riepilogo automatico dei documenti legali: il sistema deve essere in grado di generare riepiloghi accurati e concisi dei documenti legali, che consentano agli utenti di comprenderne rapidamente il contenuto.</t>
  </si>
  <si>
    <t>Automatic summarization of legal documents: The system must be able to generate accurate and concise summaries of legal documents, allowing users to quickly understand their content.</t>
  </si>
  <si>
    <t>As a law student, I want the system to generate accurate and concise summaries of legal documents so that I can quickly understand their content.</t>
  </si>
  <si>
    <t>Participant L</t>
  </si>
  <si>
    <t>Sintesi del testo di un libro o di un articolo</t>
  </si>
  <si>
    <t>Summary of the text of a book or article</t>
  </si>
  <si>
    <t>As a literary researcher, I want to be able to view a summary of the content of a book or article in the system so that I can quickly understand its topic.</t>
  </si>
  <si>
    <t xml:space="preserve">Literature </t>
  </si>
  <si>
    <t>As a user of the machine learning system, I want the system to use different summarization techniques such as TextRank, LSA-based summarization, and other techniques, to generate concise yet informative summaries of the clustered groups, so that I can generate summaries of the grouped articles that are both concise and informative.</t>
  </si>
  <si>
    <t>As a news reader, I want the machine learning system to use various summarization techniques, such as TextRank and LSA-based summarization, to generate concise yet informative summaries of the clustered news articles, enabling me to quickly and efficiently digest news content.</t>
  </si>
  <si>
    <t>As a user of the machine learning system, I want the system to be able to adapt to changes in the news domain, so that it can continue to provide relevant and informative summaries of news articles regardless of their topic.</t>
  </si>
  <si>
    <t>As a news professional, I want the machine learning system to be adaptable and flexible enough to handle changes in the news domain, enabling it to provide relevant and informative summaries of news articles regardless of their topic.</t>
  </si>
  <si>
    <t>The system shall show to the user the district boundaries obtained as final results on the given data in order to provide support for the electoral districting process, using the model as a tool to reduce inequities such as gerrymandering and electoral manipulations and to improve representativeness</t>
  </si>
  <si>
    <t>As a Political Science official, I want the system to display the final district boundaries obtained from the data, so that I can use the model as a tool to reduce inequities such as gerrymandering and electoral manipulations and improve representativeness.</t>
  </si>
  <si>
    <t>As a user of the machine learning system, I want the system to extract relevant features from the news articles, such as keywords and entities, for clustering and summarization tasks, so that I can use these features to group similar articles together based on their content.</t>
  </si>
  <si>
    <t>As a news analyst, I want the machine learning system to extract key entities and keywords from news articles to help me cluster and summarize similar articles based on their content.</t>
  </si>
  <si>
    <t>Il sistema deve utilizzare algoritmi di incremento del grafo per aggiornare la topologia della rete con nodi e bordi aggiuntivi per catturare le relazioni tra dispositivi e applicazioni.</t>
  </si>
  <si>
    <t>The system must use graph incrementing algorithms to update the network topology with additional nodes and edges to capture relationships between devices and applications.</t>
  </si>
  <si>
    <t>As a network administrator, I want the system to update the network topology with additional nodes and edges using graph incrementing algorithms, so that I can capture relationships between devices and applications and maintain an up-to-date network topology.</t>
  </si>
  <si>
    <t>graph augmentation</t>
  </si>
  <si>
    <t>Il sistema deve utilizzare tecniche per la gestione del traffico in modo efficiente per ridurre o aumentare il numero di nodi in base all’affluenza dei dati in tempo reale.</t>
  </si>
  <si>
    <t>The system must use techniques for managing traffic efficiently to reduce or increase the number of nodes based on real-time data flow.</t>
  </si>
  <si>
    <t>As a network administrator, I want the system to manage traffic efficiently using real-time data flow, so that the number of nodes can be dynamically reduced or increased based on network traffic.</t>
  </si>
  <si>
    <t>Participant D</t>
  </si>
  <si>
    <t>The system must maintain updated a graph that represents all connections between applications and devices.</t>
  </si>
  <si>
    <t>As a network administrator, I want to be able to view an updated graph that represents all connections between applications and devices, so that I can easily track the network topology.</t>
  </si>
  <si>
    <t>The system must (de)allocate resources for the running of the available applications in the network.</t>
  </si>
  <si>
    <t>As a network administrator, I want to be able to allocate and deallocate resources for the running of available applications on the network, so that I can ensure that resources are used efficiently.</t>
  </si>
  <si>
    <t>The system must attach more resources (if free) to an application if it's recognized that more resources are needed to fulfill its tasks.</t>
  </si>
  <si>
    <t>As a network administrator, I want the system to automatically attach more resources to an application if it's recognized that more resources are needed to fulfill its tasks, so that applications can run efficiently.</t>
  </si>
  <si>
    <t>The system must detach resources to an application if it recognizes that too many resources are attached to it but aren't used.</t>
  </si>
  <si>
    <t>As a network administrator, I want the system to automatically detach resources from an application if it's recognized that too many resources are attached to it but aren't being used, so that resources can be used efficiently.</t>
  </si>
  <si>
    <t>Il modello di ML deve poter effettuare operazioni di node addition in modo da poter  aumentare l’accuratezza della valutazione dei rischi</t>
  </si>
  <si>
    <t>The ML model should be able to perform node addition operations in order to increase the accuracy of risk evaluation.</t>
  </si>
  <si>
    <t>As a transportation analyst, I want the ML model to perform node addition operations, so that I can improve the accuracy of risk evaluation by adding relevant data.</t>
  </si>
  <si>
    <t>Il modello di ML deve poter effettuare operazioni di edge addition in modo da poter  aumentare l’accuratezza della valutazione dei rischi</t>
  </si>
  <si>
    <t>The ML model should be able to perform edge addition operations in order to increase the accuracy of risk evaluation.</t>
  </si>
  <si>
    <t>As a transportation analyst, I want the ML model to perform edge addition operations, so that I can improve the accuracy of risk evaluation by adding relevant data.</t>
  </si>
  <si>
    <t>Il modello di ML deve poter effettuare operazioni di node deletion in modo da poter  aumentare l’accuratezza della valutazione dei rischi</t>
  </si>
  <si>
    <t>The ML model should be able to perform node deletion operations in order to increase the accuracy of risk evaluation.</t>
  </si>
  <si>
    <t>As a transportation analyst, I want the ML model to perform node deletion operations, so that I can improve the accuracy of risk evaluation by removing irrelevant data.</t>
  </si>
  <si>
    <t>Il sistema deve essere in grado di identificare i nodi più influenti nella rete sociale sulla base di tecniche di diffusione grafica.</t>
  </si>
  <si>
    <t>The system must be capable of identifying the most influential nodes in the social network based on graph diffusion techniques.</t>
  </si>
  <si>
    <t>As a marketing manager, I want the system to identify the most influential nodes in the social network using graph diffusion techniques so that I can create targeted advertising campaigns.</t>
  </si>
  <si>
    <t>graph diffusion</t>
  </si>
  <si>
    <t xml:space="preserve">Il sistema deve essere in grado di integrare tecniche di apprendimento automatico per migliorare la qualità dell'analisi della diffusione grafica. </t>
  </si>
  <si>
    <t>The system must be capable of integrating machine learning techniques to improve the quality of the graph diffusion analysis.</t>
  </si>
  <si>
    <t>As a machine learning specialist, I want the system to integrate machine learning techniques to improve the quality of the graph diffusion analysis so that I can make more accurate predictions about user behavior.</t>
  </si>
  <si>
    <t>Il sistema deve gestire dati su larga scala</t>
  </si>
  <si>
    <t>The system must manage large-scale data.</t>
  </si>
  <si>
    <t>As a user of the system, I want it to manage large-scale data so that I can process and analyze large amounts of patient data efficiently.</t>
  </si>
  <si>
    <t>graph mining</t>
  </si>
  <si>
    <t>Il sistema deve sfruttare piattaforme cloud</t>
  </si>
  <si>
    <t>The system must utilize cloud platforms.</t>
  </si>
  <si>
    <t>As a user of the system, I want it to utilize cloud platforms so that I can access the system and patient data from anywhere and on any device, without having to worry about hardware limitations or maintenance.</t>
  </si>
  <si>
    <t>Il sistema dovrebbe sfruttare piattaforme informatiche basate su cloud e big data analytics per gestire i grandi volumi di dati sul traffico di rete e ottenere un aumento scalabile ed efficiente dei grafi.</t>
  </si>
  <si>
    <t>The system should use cloud-based computing platforms and big data analytics to manage large volumes of network traffic data and achieve scalable and efficient graph processing.</t>
  </si>
  <si>
    <t>As a network administrator, I want the system to use cloud-based computing platforms and big data analytics to manage large volumes of network traffic data and achieve scalable and efficient graph processing, so that network performance can be maintained even under heavy loads.</t>
  </si>
  <si>
    <t>The system must be able to handle large amounts of data, with no limits on number of files, to ensure system scalability.</t>
  </si>
  <si>
    <t>As a computer vision researcher, I want the system to be able to handle large amounts of data, with no limits on the number of files, so that I can process and analyze large datasets in computer vision research.</t>
  </si>
  <si>
    <t>Graph Mining: The system must use a Graph Mining algorithm to analyze the connection between users and to track 'famous' users</t>
  </si>
  <si>
    <t>As a social network analyst in the Psychology field, I want the system to analyze the connections between users by using a Graph Mining algorithm so that I can understand the social networks and relationships between individuals in my research on social psychology.</t>
  </si>
  <si>
    <t>Traduzione automatica di testi legali: il sistema deve essere in grado di tradurre automaticamente testi legali da una lingua all'altra, mantenendo l'accuratezza e la coerenza della lingua legale.</t>
  </si>
  <si>
    <t>Automatic translation of legal texts: The system must be able to automatically translate legal texts from one language to another while maintaining the accuracy and coherence of the legal language.</t>
  </si>
  <si>
    <t>As a legal translator, I want the system to automatically translate legal texts from one language to another while maintaining the accuracy and coherence of the legal language.</t>
  </si>
  <si>
    <t>machine translation</t>
  </si>
  <si>
    <t>Traduzione di un libro o un articolo in un'altra lingua</t>
  </si>
  <si>
    <t>Translation of a book or article into another language</t>
  </si>
  <si>
    <t>As a literary researcher, I want to be able to translate a book or article into another language in the system so that I can study it in my preferred language.</t>
  </si>
  <si>
    <t>As a user of the machine learning system, I want the system to be able to handle news articles in multiple languages, so that I can analyze news from different regions of the world.</t>
  </si>
  <si>
    <t>As a news correspondent, I want the machine learning system to be able to handle news articles in multiple languages, so that I can analyze news from various regions of the world and gain a broader perspective on global events.</t>
  </si>
  <si>
    <t>Identificazione di somiglianze e differenze tra documenti legali: il sistema deve essere in grado di identificare somiglianze e differenze tra diversi documenti legali, che consentiranno agli utenti di confrontare e contrapporre diversi casi e sentenze.</t>
  </si>
  <si>
    <t>Identification of similarities and differences between legal documents: The system must be able to identify similarities and differences between different legal documents, allowing users to compare and contrast different cases and judgments.</t>
  </si>
  <si>
    <t>As a legal researcher, I want the system to identify similarities and differences between different legal documents so that I can compare and contrast different cases and judgments.</t>
  </si>
  <si>
    <t>Rilevamento del plagio nei documenti legali: il sistema deve essere in grado di rilevare il plagio nei testi legali, identificando somiglianze e coincidenze con altri documenti legali esistenti.</t>
  </si>
  <si>
    <t>Detection of plagiarism in legal documents: The system must be able to detect plagiarism in legal texts, identifying similarities and coincidences with other existing legal documents.</t>
  </si>
  <si>
    <t>As a legal professional, I want the system to detect plagiarism in legal texts, identifying similarities and coincidences with other existing legal documents, so that I can ensure the originality of legal documents.</t>
  </si>
  <si>
    <t>Participant O</t>
  </si>
  <si>
    <t>Il sistema deve essere in grado di abbinare le caratteristiche genomiche ai corrispondenti dati fenotipici, come l'altezza della pianta, la biomassa o la suscettibilità alle malattie.</t>
  </si>
  <si>
    <t>The system should be able to match the genomic features with the corresponding phenotypic data, such as plant height, biomass, or disease susceptibility.</t>
  </si>
  <si>
    <t>As a plant scientist, I want the system to match the genomic features with the corresponding phenotypic data, such as plant height, biomass, or disease susceptibility, so that I can understand the genetic basis of different plant traits.</t>
  </si>
  <si>
    <t>Il sistema deve utilizzare tecniche di matching come Support Vector Regression o K-Nearest Neighbors.</t>
  </si>
  <si>
    <t>The system should use matching techniques such as Support Vector Regression or K-Nearest Neighbors.</t>
  </si>
  <si>
    <t>As a plant scientist, I want the system to use matching techniques such as Support Vector Regression or K-Nearest Neighbors to predict the phenotype of a plant based on its genomic features, so that I can use this information for breeding or crop improvement.</t>
  </si>
  <si>
    <t>Il sistema deve essere in grado di abbinare le caratteristiche genomiche ai dati fenotipici in un tempo non superiore ad un'ora, consentendo ai ricercatori di analizzare e interpretare rapidamente i risultati.</t>
  </si>
  <si>
    <t>The system should be able to match the genomic features with the phenotypic data in no more than an hour, allowing researchers to quickly analyze and interpret the results.</t>
  </si>
  <si>
    <t>As a plant scientist, I want the system to match the genomic features with the phenotypic data in no more than an hour, so that I can quickly analyze and interpret the results and plan my next experiment accordingly.</t>
  </si>
  <si>
    <t>Il modello deve utilizzare algoritmi di apprendimento per rinforzo per adattarsi dinamicamente alle mutevoli esigenze della rete.</t>
  </si>
  <si>
    <t>The system must use reinforcement learning algorithms to adapt dynamically to changing network needs.</t>
  </si>
  <si>
    <t>As a network administrator, I want the system to adapt dynamically to changing network needs using reinforcement learning algorithms, so that the network can respond to changing conditions and maintain optimal performance.</t>
  </si>
  <si>
    <t>Other</t>
  </si>
  <si>
    <t>Participant G</t>
  </si>
  <si>
    <t>As an investor investing in company shares, I want to extract that company's information, so that I can extract useful metrics that can be used in price prediction of that share.</t>
  </si>
  <si>
    <t>As a finance investor, I want to access a company's financial information to extract useful metrics for price prediction of that share.</t>
  </si>
  <si>
    <t>The system shall provide an interactive dashboard that provides users with the ability to customize the input parameters of the machine learning model, such as the time interval considered for price prediction</t>
  </si>
  <si>
    <t>As a quant developer, I want an interactive dashboard that allows users to customize the input parameters of the machine learning model, such as the time interval considered for price prediction, so that users can customize the system to their investment needs.</t>
  </si>
  <si>
    <t>The system must be able to use appropriate ranking techniques, such as PageRank or LambdaMART, that can accurately rank advertisements based on their potential impact.</t>
  </si>
  <si>
    <t>As an advertising data analyst, I want the system to use appropriate ranking techniques (e.g. PageRank or LambdaMART), so that advertisements can be accurately ranked based on their potential impact.</t>
  </si>
  <si>
    <t>The system must be able to evaluate the performance of various machine learning algorithms and techniques for ranking and placement tasks to determine which one performs best on the provided dataset.</t>
  </si>
  <si>
    <t>As an advertising data analyst, I want the system to evaluate the performance of various machine learning algorithms and techniques for ranking and placement tasks, so that the best algorithm can be chosen for the provided dataset.</t>
  </si>
  <si>
    <t>The system should use feature selection techniques, such as principal component analysis or mutual information, to identify the most relevant features that affect ad performance.</t>
  </si>
  <si>
    <t>As an advertising data analyst, I want the system to use feature selection techniques (e.g. principal component analysis or mutual information) to identify the most relevant features that affect ad performance, so that only the most important features are used for ad ranking and placement optimization.</t>
  </si>
  <si>
    <t>The system must be able to continuously learn from new data and adapt to changing trends and user behaviors.</t>
  </si>
  <si>
    <t>As an advertising data analyst, I want the system to continuously learn from new data and adapt to changing trends and user behaviors, so that the ad ranking and placement optimization strategies can be updated to reflect current trends.</t>
  </si>
  <si>
    <t>As an ML-intensive application, I want to implement sophisticated ranking algorithms, such as Elo rating or Bayesian ranking, to evaluate the performance of teams or players based on their past records and predict future outcomes with greater accuracy.</t>
  </si>
  <si>
    <t>As a sports analyst, I want to implement sophisticated ranking algorithms to evaluate the performance of teams or players based on their past records and predict future outcomes with greater accuracy.</t>
  </si>
  <si>
    <t>As an investor, I want to know when a certain asset I hold is predicted to lose value in the near feature, so that I can assess if to keep it or not.</t>
  </si>
  <si>
    <t>As a finance investor, I want to receive alerts when a certain asset I hold is predicted to lose value in the near future to make an informed decision about whether to hold or sell it.</t>
  </si>
  <si>
    <t>As an ML-intensive application, I want to predict the number of points or goals a player is likely to score in a given game or season based on a range of input features, including but not limited to the player's historical performance, the team's previous records, and the environmental conditions.</t>
  </si>
  <si>
    <t>As a sports enthusiast, I want to use an ML-based tool to predict the number of points or goals my favorite player will score in the upcoming game or season based on various factors, including their past performance, the team's history, and environmental conditions.</t>
  </si>
  <si>
    <t>As an ML-intensive application, I want to utilize advanced supervised regression algorithms, such as random forest regression or gradient boosting regression, to accurately predict athlete performance in complex and dynamic team sports scenarios.</t>
  </si>
  <si>
    <t>As a coach, I want to use advanced supervised regression algorithms to accurately predict the performance of my athletes in complex and dynamic team sports scenarios, such as soccer or basketball.</t>
  </si>
  <si>
    <t>Come sistema, voglio implementare algoritmi di regressione supervisionati, come la regressione random forest o la regressione gradient boosting, in modo da prevedere il numero di punti o di gol che un giocatore probabilmente segnerà in una determinata partita o stagione, in base a una serie di caratteristiche di input (come l'età, il regime di allenamento, gli infortuni precedenti e le condizioni ambientali).</t>
  </si>
  <si>
    <t>As a system, I want to implement supervised regression algorithms, such as random forest regression or gradient boosting regression, in order to predict the number of points or goals a player is likely to score in a given game or season, based on a series of input features (such as age, training regime, past injuries, and environmental conditions).</t>
  </si>
  <si>
    <t>As a coach or team manager, I want the system to predict the number of points or goals a player is likely to score in a given game or season, based on a series of input features such as age, training regime, past injuries, and environmental conditions, so that I can develop game strategies and improve team performance.</t>
  </si>
  <si>
    <t>Come sistema, voglio essere in grado di normalizzare i dati di input in modo da ridurre la varianza e garantire che i valori di input siano comparabili.</t>
  </si>
  <si>
    <t>As a system, I want to be able to normalize input data in order to reduce variance and ensure that input values are comparable.</t>
  </si>
  <si>
    <t>As a data analyst or researcher in the sports domain, I want the system to be able to normalize input data, in order to reduce variance and ensure that input values are comparable, so that the model's predictions are more accurate.</t>
  </si>
  <si>
    <t>Consulenza legale automatizzata: il sistema deve essere in grado di fornire raccomandazioni legali automatizzate, basate sull'interpretazione dei testi giuridici e della giurisprudenza esistente.</t>
  </si>
  <si>
    <t>Automated legal advice: The system must be able to provide automated legal recommendations based on the interpretation of legal texts and existing case law.</t>
  </si>
  <si>
    <t>As a legal advisor, I want the system to provide automated legal recommendations based on the interpretation of legal texts and existing case law so that I can provide timely and accurate legal advice to clients.</t>
  </si>
  <si>
    <t>The system shall use supervised representation learning techniques to create document embeddings that can capture the similarities and differences between legal documents on specific legal topics, in order to provide legal professionals with an overview of similar cases.</t>
  </si>
  <si>
    <t>As a legal expert, I want the system to create document embeddings that can capture the similarities and differences between legal documents on specific legal topics so that I can better understand similar cases.</t>
  </si>
  <si>
    <t>The system shall use sentiment analysis and representation learning techniques to identify and extract legal arguments and reasoning expressed in legal documents, enabling legal professionals to better understand the legal reasoning involved in specific cases or issues.</t>
  </si>
  <si>
    <t>As a legal analyst, I want the system to identify and extract legal arguments and reasoning expressed in legal documents so that I can better understand the legal reasoning involved in specific cases or issues.</t>
  </si>
  <si>
    <t>The system shall use representation learning techniques, in order to create efficient and effective document embeddings for downstream tasks.</t>
  </si>
  <si>
    <t>As a legal researcher, I want the system to create efficient and effective document embeddings for downstream tasks using representation learning techniques.</t>
  </si>
  <si>
    <t>Il sistema deve utilizzare algoritmi di allocazione delle risorse, come l'apprendimento per rinforzo o gli algoritmi genetici, per allocare dinamicamente le risorse in base alla topologia della rete, ai modelli di traffico e ai requisiti di prestazione.</t>
  </si>
  <si>
    <t>The system must use resource allocation algorithms, such as reinforcement learning or genetic algorithms, to dynamically allocate resources based on network topology, traffic patterns, and performance requirements.</t>
  </si>
  <si>
    <t>As a network administrator, I want the system to dynamically allocate resources using reinforcement learning or genetic algorithms, based on network topology, traffic patterns, and performance requirements, so that the network can be optimized for efficiency and scalability.</t>
  </si>
  <si>
    <t>resource allocation</t>
  </si>
  <si>
    <t>The system must recognize if an application is given too few resources in order to serve its purpose.</t>
  </si>
  <si>
    <t>As a network administrator, I want the system to recognize if an application is given too few resources to serve its purpose, so that I can allocate additional resources as needed.</t>
  </si>
  <si>
    <t>Il sistema deve essere in grado di monitorare la rete sociale per rilevare eventuali cambiamenti nella diffusione dell'informazione.</t>
  </si>
  <si>
    <t>The system must be capable of monitoring the social network to detect any changes in the diffusion of information.</t>
  </si>
  <si>
    <t>As a social media manager, I want the system to monitor the social network and detect changes in information diffusion so that I can adjust my social media strategies as needed.</t>
  </si>
  <si>
    <t>Il modello di ML deve poter essere indipendente dal dataset in input, in modo da poter accettare dataset non modificati da algoritmi di feature selection</t>
  </si>
  <si>
    <t>The ML model should be able to be independent from the input dataset, so that it can accept datasets not modified by feature selection algorithms.</t>
  </si>
  <si>
    <t>As a transportation analyst, I want the ML model to be able to accept datasets not modified by feature selection algorithms, so that I can use all available features for risk evaluation.</t>
  </si>
  <si>
    <t>Il modello di ML deve poter produrre risultati utilizzando features indipendenti per la predizione (ad esempio: rete stradali, flussi di traffico e dati spaziali e temporali)</t>
  </si>
  <si>
    <t>The ML model should be able to produce results using independent features for prediction (for example: road networks, traffic flows, and spatial and temporal data).</t>
  </si>
  <si>
    <t>As a transportation analyst, I want the ML model to produce results using independent features for prediction, such as road networks, traffic flows, and spatial and temporal data, so that I can use different types of data to evaluate risk accurately.</t>
  </si>
  <si>
    <t>As an investor, I want to know people's opinion/sentiment on a financial investment product, so that I can make predictions on the product's value.</t>
  </si>
  <si>
    <t>As a finance investor, I want to see the sentiment/opinion of other investors on a financial investment product to make informed predictions about the product's value.</t>
  </si>
  <si>
    <t>Analisi del sentiment: il sistema deve essere in grado di analizzare il tono e l'atteggiamento dei testi legali per determinare se si tratta di un documento positivo, negativo o neutro.</t>
  </si>
  <si>
    <t>Sentiment analysis: The system must be able to analyze the tone and attitude of legal texts to determine if the document is positive, negative, or neutral.</t>
  </si>
  <si>
    <t>As a legal analyst, I want the system to perform sentiment analysis on legal texts so that I can understand the tone and attitude of legal documents.</t>
  </si>
  <si>
    <t>The system shall use NLP techniques to perform sentiment analysis on legal documents and opinions related to specific issues, in order to help the identification of emotions and opinions.</t>
  </si>
  <si>
    <t>As a legal professional, I want the system to perform sentiment analysis on legal documents and opinions related to specific issues so that I can identify the emotions and opinions expressed in the text.</t>
  </si>
  <si>
    <t>The system shall use NLP and representation learning techniques to “neutralize” the sentiment of a legal document while preserving its meaning, in order to help legal professionals create neutral documents as part of creating document embeddings for downstream tasks.</t>
  </si>
  <si>
    <t>As a legal professional, I want the system to "neutralize" the sentiment of a legal document while preserving its meaning so that I can create neutral documents for downstream tasks.</t>
  </si>
  <si>
    <t>The system shall provide insights into the attitudes and emotions surrounding specific legal issues, to enable more informed decision-making and better case preparation.</t>
  </si>
  <si>
    <t>As a legal professional, I want the system to provide insights into the attitudes and emotions surrounding specific legal issues so that I can make more informed decisions and prepare for cases better.</t>
  </si>
  <si>
    <t>The system shall use NLP techniques to perform speakers attribution and sentiment analysis for each speaker on case documents, in order to help legal professionals understand the emotions of all participants.</t>
  </si>
  <si>
    <t>As a legal researcher, I want the system to perform speaker attribution and sentiment analysis for each speaker on case documents so that I can understand the emotions of all participants.</t>
  </si>
  <si>
    <t>Sentiment Analysis Algorithms: The system must use a Sentiment Analysis Algorithms algorithm using the Lexicon-Method Based to determine the sentiment of a sentence by summing the scores of each words contained</t>
  </si>
  <si>
    <t>As a sentiment analysis expert in Psychology, I want the system to determine the sentiment of a sentence by using the Lexicon-Method Based Sentiment Analysis Algorithms algorithm so that I can analyze the emotional content of text data for psychological research on emotions and cognition.</t>
  </si>
  <si>
    <t>Collect Social Post/Comment/Reaction/Award: The system must be able to access posts from third-party social media such as Twitter and Reddit</t>
  </si>
  <si>
    <t>As a social media researcher in the Psychology field, I want the system to collect social posts, comments, reactions, and awards from third-party social media such as Twitter and Reddit so that I can study the social and emotional dynamics of online interactions in my research on social media and mental health.</t>
  </si>
  <si>
    <t>The application shall provide continuous monitoring and evaluation of the machine learning model's performance and accuracy, with feedback loops to improve the model over time.</t>
  </si>
  <si>
    <t>As a biologist, I want the application to provide continuous monitoring and evaluation of the machine learning model's performance and accuracy, with feedback loops to improve the model over time, so that I can adapt the model to changing biological conditions and improve its performance over time.</t>
  </si>
  <si>
    <t>Il sistema deve utilizzare algoritmi di ML per l'apprendimento di processi spazio-temporali</t>
  </si>
  <si>
    <t>The system must use ML algorithms for learning spatio-temporal processes.</t>
  </si>
  <si>
    <t>As a cardiologist, I want it to use ML algorithms for learning spatio-temporal processes so that it can continuously improve its accuracy in detecting and diagnosing cardiac diseases.</t>
  </si>
  <si>
    <t>The system shall perform spatio-temporal process learning, using techniques such as recurrent neural network, to analyze historical voting patterns, population growth and other relevant data to create district boundaries, also taking into consideration the prediction of future election behavior, in order to reduce inequity and gerrymandering and to improve accuracy and representativeness</t>
  </si>
  <si>
    <t>As a Political Science official, I want the system to perform spatio-temporal process learning, using techniques such as recurrent neural networks, to analyze historical voting patterns, population growth, and other relevant data to create district boundaries that take into consideration the prediction of future election behavior. This will help to reduce inequity and gerrymandering and improve accuracy and representativeness.</t>
  </si>
  <si>
    <t>Come sistema voglio consentire all'organizzazione sportiva di caricare i propri dati sportivi personalizzati, come le prestazioni precedenti dei giocatori o i dati sulle condizioni ambientali, in modo da migliorare la precisione delle previsioni del modello di Machine Learning.</t>
  </si>
  <si>
    <t>As a system, I want to allow the sports organization to upload their own customized sports data, such as players' past performances or data on environmental conditions, in order to improve the accuracy of the Machine Learning model's predictions.</t>
  </si>
  <si>
    <t>As a sports organization, I want to be able to upload our own customized sports data, such as players' past performances or data on environmental conditions, in order to improve the accuracy of the Machine Learning model's predictions and make data-driven decisions.</t>
  </si>
  <si>
    <t>The application shall use data preparation techniques such as sampling, feature selection, data cleaning, parallel processing, and dimensionality reduction to be able to process large-scale omics data.</t>
  </si>
  <si>
    <t>As a biologist, I want to use data preparation techniques such as sampling, feature selection, data cleaning, parallel processing, and dimensionality reduction to be able to process large-scale omics data, so that I can optimize the performance of the machine learning models and reduce the impact of noise and spurious correlations.</t>
  </si>
  <si>
    <t>The system must be able to extract meaningful features from the collected data, such as ad engagement data, user demographics, and ad placement data to improve the accuracy of the ad ranking and placement optimization.</t>
  </si>
  <si>
    <t>As an advertising data analyst, I want the system to extract meaningful features from collected data, such as ad engagement data, user demographics, and ad placement data, to improve the accuracy of ad ranking and placement optimization.</t>
  </si>
  <si>
    <t>Il sistema deve utilizzare la tecnica di analisi semantica (Latent Semantic Analysis) sui copioni di tutti i ruoli per estrarre dati significativi, confrontarli con le caratteristiche degli attori e utilizzarli per selezionare attori e attrici con maggior tasso di compatibilità.</t>
  </si>
  <si>
    <t>The system must use the technique of semantic analysis (Latent Semantic Analysis) on the scripts of all roles to extract significant data, compare them with the characteristics of actors and use them to select actors and actresses with a higher compatibility rate.</t>
  </si>
  <si>
    <t>As a casting director, I want the system to use the technique of semantic analysis (Latent Semantic Analysis) on the scripts of all roles to extract significant data, compare them with the characteristics of actors, and recommend actors and actresses with a higher compatibility rate, so that I can reduce the time and effort required to find suitable candidates.</t>
  </si>
  <si>
    <t>Il sistema deve utilizzare la tecnica di analisi semantica (Latent Semantic Analysis) sui curriculum di tutti i direttori di casting per estrarre e analizzare dati significativi, confrontarli con le caratteristiche richieste e utilizzarli per assegnare un direttore di casting ad una specifica attività.</t>
  </si>
  <si>
    <t>The system must use the technique of semantic analysis (Latent Semantic Analysis) on the resumes of all casting directors to extract and analyze significant data, compare them with the required characteristics and use them to assign a casting director to a specific activity.</t>
  </si>
  <si>
    <t>As a producer, I want the system to use the technique of semantic analysis (Latent Semantic Analysis) on the resumes of all casting directors to extract and analyze significant data, compare them with the required characteristics, and assign a casting director to a specific activity, so that I can ensure that the right casting director is assigned to the right project.</t>
  </si>
  <si>
    <t>Il sistema deve utilizzare una tecnica di filtraggio basato sui contenuti per analizzare le caratteristiche dei direttori del casting e assegnargli specifiche attività di selezione del casting.</t>
  </si>
  <si>
    <t>The system must use a content-based filtering technique to analyze the characteristics of casting directors and assign them specific casting selection activities.</t>
  </si>
  <si>
    <t>As a producer, I want the system to use a content-based filtering technique to analyze the characteristics of casting directors and assign them specific casting selection activities, so that I can ensure that the right casting director is assigned to the right project.</t>
  </si>
  <si>
    <t>Il sistema deve utilizzare una tecnica di filtraggio basato sui contenuti per analizzare le caratteristiche degli attori e delle attrici e assegnargli specifici ruoli.</t>
  </si>
  <si>
    <t>The system must use a content-based filtering technique to analyze the characteristics of actors and actresses and assign them specific roles.</t>
  </si>
  <si>
    <t>As a casting director, I want the system to use a content-based filtering technique to analyze the characteristics of actors and actresses and assign them specific roles, so that I can ensure that the right candidates are selected for the right roles.</t>
  </si>
  <si>
    <t>Il sistema deve utilizzare tecniche di selezione delle caratteristiche come "Recursive Feature Elimination" o "Random Forest Importance" per identificare le caratteristiche genomiche più informative.</t>
  </si>
  <si>
    <t>The system should use feature selection techniques such as "Recursive Feature Elimination" or "Random Forest Importance" to identify the most informative genomic features.</t>
  </si>
  <si>
    <t>As a plant scientist, I want the system to use feature selection techniques such as "Recursive Feature Elimination" or "Random Forest Importance" to identify the most informative genomic features so that I can focus on the most relevant genetic markers for my research.</t>
  </si>
  <si>
    <t>Il sistema deve essere in grado di identificare le caratteristiche genomiche più informative con elevata precisione e recall.</t>
  </si>
  <si>
    <t>The system should be able to identify the most informative genomic features with high precision and recall.</t>
  </si>
  <si>
    <t>As a plant scientist, I want the system to identify the most informative genomic features with high precision and recall, so that I can trust the results of the analysis and make informed decisions.</t>
  </si>
  <si>
    <t>Il sistema deve utilizzare un algoritmo di filtraggio collaborativo per selezionare gli attori per specifici ruoli in base alle capacità, all’esperienza e all’idoneità.</t>
  </si>
  <si>
    <t>The system must use a collaborative filtering algorithm to select actors for specific roles based on their abilities, experience, and suitability.</t>
  </si>
  <si>
    <t>As a producer, I want the system to use a collaborative filtering algorithm to suggest suitable actors for specific roles based on their abilities, experience, and suitability, so that I can make more informed casting decisions and increase the chances of producing successful films.</t>
  </si>
  <si>
    <t>task assignment</t>
  </si>
  <si>
    <t>Il sistema deve essere in grado di accedere a grandi set di dati di attori e attrici per identificare le caratteristiche fisiche degli attori e delle attrici e assegnare i ruoli in modo scalabile ed efficiente.</t>
  </si>
  <si>
    <t>The system must be able to access large sets of actor and actress data to identify their physical characteristics and assign roles in a scalable and efficient manner.</t>
  </si>
  <si>
    <t>As a producer, I want the system to be able to access large sets of actor and actress data to identify their physical characteristics and assign roles in a scalable and efficient manner, so that I can reduce the time and effort required to find suitable candidates.</t>
  </si>
  <si>
    <t>Il sistema deve essere in grado di accedere a grandi set di dati di produzione cinematografica per identificare i film di maggior successo, i generi più popolari e le tendenze di produzione in modo da identificare i direttori di casting più adeguati.</t>
  </si>
  <si>
    <t>The system must be able to access large sets of cinematic production data to identify the most successful films, the most popular genres, and production trends in order to identify the most suitable casting directors.</t>
  </si>
  <si>
    <t>As a producer, I want the system to be able to access large sets of cinematic production data to identify the most successful films, the most popular genres, and production trends in order to identify the most suitable casting directors, so that I can make more informed decisions when selecting casting directors.</t>
  </si>
  <si>
    <t>Medicine</t>
  </si>
  <si>
    <t>Computer Networks</t>
  </si>
  <si>
    <t>Literature</t>
  </si>
  <si>
    <t>Social Media</t>
  </si>
  <si>
    <t>Social Networks</t>
  </si>
  <si>
    <t>Health</t>
  </si>
  <si>
    <t>Education</t>
  </si>
  <si>
    <t>Urban Studies</t>
  </si>
  <si>
    <t>true</t>
  </si>
  <si>
    <t>As a biologist, I want the application to provide accurate classification results with a minimum accuracy of 90% for binary classification problems, as evaluated by metrics such as F1-score, Recall, Precision, Accuracy or Mean squared error, so that I can trust the models results and make informed decisions based on the predictions.</t>
  </si>
  <si>
    <t>As a biologist, I want the application to provide continuous monitoring and evaluation of the machine learning models performance and accuracy, with feedback loops to improve the model over time, so that I can adapt the model to changing biological conditions and improve its performance over time.</t>
  </si>
  <si>
    <t xml:space="preserve"> clustering</t>
  </si>
  <si>
    <t xml:space="preserve"> entity resolution</t>
  </si>
  <si>
    <t xml:space="preserve"> representation learning</t>
  </si>
  <si>
    <t xml:space="preserve"> sentiment analysis</t>
  </si>
  <si>
    <t>As a biologist, I want the application to use interpretability techniques such as feature importance scores, decision trees, or saliency maps to understand the underlying biological mechanisms and validate the models predictions, so that I can gain insights into the biological mechanisms underlying cancer subtypes and identify the genes and pathways driving the classification results.</t>
  </si>
  <si>
    <t xml:space="preserve"> bias detection in language models</t>
  </si>
  <si>
    <t xml:space="preserve"> bias detection in word embeddings</t>
  </si>
  <si>
    <t xml:space="preserve"> classification</t>
  </si>
  <si>
    <t xml:space="preserve"> regression</t>
  </si>
  <si>
    <t xml:space="preserve"> anomaly detection</t>
  </si>
  <si>
    <t xml:space="preserve"> data summarization</t>
  </si>
  <si>
    <t xml:space="preserve"> districting</t>
  </si>
  <si>
    <t xml:space="preserve"> graph augmentation</t>
  </si>
  <si>
    <t xml:space="preserve"> graph diffusion</t>
  </si>
  <si>
    <t xml:space="preserve"> graph mining</t>
  </si>
  <si>
    <t xml:space="preserve"> machine translation</t>
  </si>
  <si>
    <t xml:space="preserve"> matching</t>
  </si>
  <si>
    <t xml:space="preserve"> pricing</t>
  </si>
  <si>
    <t xml:space="preserve"> ranking</t>
  </si>
  <si>
    <t xml:space="preserve"> resource allocation</t>
  </si>
  <si>
    <t xml:space="preserve"> risk assessment</t>
  </si>
  <si>
    <t xml:space="preserve"> spatio-temporal process learning</t>
  </si>
  <si>
    <t xml:space="preserve"> speech recognition</t>
  </si>
  <si>
    <t xml:space="preserve"> subset selection</t>
  </si>
  <si>
    <t xml:space="preserve"> task assignment</t>
  </si>
  <si>
    <t>As a cardiologist, I want the system to process ECG signals so that I can analyze the electrical activity of a patients heart and detect any abnormalities.</t>
  </si>
  <si>
    <t>As a cardiologist, I want the system to process Echo signals so that I can analyze the structure and function of a patients heart and detect any abnormalities.</t>
  </si>
  <si>
    <t>other</t>
  </si>
  <si>
    <t>As a cardiologist, I want the system to recognize anomalies in ECG signals so that I can identify any irregularities in a patients heart activity and determine the appropriate treatment.</t>
  </si>
  <si>
    <t>As a cardiologist, I want the system to recognize anomalies in Echo signals so that I can identify any irregularities in a patients heart structure or function and determine the appropriate treatment.</t>
  </si>
  <si>
    <t>As a casting director, I want the system to use algorithms for the classification of an actors skills to understand similarities between candidates and affinity with a particular role, so that I can make better casting decisions and increase the chances of producing successful films.</t>
  </si>
  <si>
    <t>As a data analyst or researcher in the sports domain, I want the system to be able to normalize input data, in order to reduce variance and ensure that input values are comparable, so that the models predictions are more accurate.</t>
  </si>
  <si>
    <t>speech recognition</t>
  </si>
  <si>
    <t>As a finance investor, I want to access a companys financial information to extract useful metrics for price prediction of that share.</t>
  </si>
  <si>
    <t>As a finance investor, I want to see the sentiment/opinion of other investors on a financial investment product to make informed predictions about the products value.</t>
  </si>
  <si>
    <t>As a network administrator, I want the system to automatically attach more resources to an application if its recognized that more resources are needed to fulfill its tasks, so that applications can run efficiently.</t>
  </si>
  <si>
    <t>As a network administrator, I want the system to automatically detach resources from an application if its recognized that too many resources are attached to it but arent being used, so that resources can be used efficiently.</t>
  </si>
  <si>
    <t>As a producer, I want the system to use algorithms for the classification of a casting directors skills to understand similarities between candidates and required coverage affinity, so that I can ensure that the right casting director is selected for the right project.</t>
  </si>
  <si>
    <t>As a sports enthusiast, I want to use an ML-based tool to predict the number of points or goals my favorite player will score in the upcoming game or season based on various factors, including their past performance, the teams history, and environmental conditions.</t>
  </si>
  <si>
    <t>As a sports organization, I want to be able to upload our own customized sports data, such as players past performances or data on environmental conditions, in order to improve the accuracy of the Machine Learning models predictions and make data-driven decisions.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</si>
</sst>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0"/>
      <color rgb="FF000000"/>
      <name val="Arial"/>
      <scheme val="minor"/>
    </font>
    <font>
      <sz val="10"/>
      <color theme="1"/>
      <name val="Arial"/>
    </font>
    <font>
      <sz val="10"/>
      <color theme="1"/>
      <name val="Arial"/>
      <scheme val="minor"/>
    </font>
    <font>
      <u/>
      <sz val="10"/>
      <color theme="1"/>
      <name val="Arial"/>
      <family val="2"/>
      <scheme val="minor"/>
    </font>
    <font>
      <sz val="10"/>
      <color rgb="FF000000"/>
      <name val="Arial"/>
      <family val="2"/>
      <scheme val="minor"/>
    </font>
  </fonts>
  <fills count="3">
    <fill>
      <patternFill patternType="none"/>
    </fill>
    <fill>
      <patternFill patternType="gray125"/>
    </fill>
    <fill>
      <patternFill patternType="solid">
        <fgColor rgb="FFFFFFFF"/>
        <bgColor rgb="FFFFFFFF"/>
      </patternFill>
    </fill>
  </fills>
  <borders count="1">
    <border>
      <left/>
      <right/>
      <top/>
      <bottom/>
      <diagonal/>
    </border>
  </borders>
  <cellStyleXfs count="1">
    <xf numFmtId="0" fontId="0" fillId="0" borderId="0"/>
  </cellStyleXfs>
  <cellXfs count="6">
    <xf numFmtId="0" fontId="0" fillId="0" borderId="0" xfId="0"/>
    <xf numFmtId="0" fontId="1" fillId="0" borderId="0" xfId="0" applyFont="1"/>
    <xf numFmtId="0" fontId="1" fillId="2" borderId="0" xfId="0" applyFont="1" applyFill="1"/>
    <xf numFmtId="0" fontId="2" fillId="0" borderId="0" xfId="0" applyFont="1"/>
    <xf numFmtId="0" fontId="3" fillId="0" borderId="0" xfId="0" applyFont="1"/>
    <xf numFmtId="0" fontId="4" fillId="0" borderId="0" xfId="0" applyFont="1"/>
  </cellXfs>
  <cellStyles count="1">
    <cellStyle name="Normale"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AI121"/>
  <sheetViews>
    <sheetView tabSelected="1" topLeftCell="D1" zoomScale="70" zoomScaleNormal="70" workbookViewId="0">
      <selection activeCell="D17" sqref="D17"/>
    </sheetView>
  </sheetViews>
  <sheetFormatPr defaultColWidth="12.5546875" defaultRowHeight="15.75" customHeight="1" x14ac:dyDescent="0.25"/>
  <cols>
    <col min="1" max="1" width="14.44140625" bestFit="1" customWidth="1"/>
    <col min="2" max="2" width="44.6640625" customWidth="1"/>
    <col min="3" max="3" width="255.6640625" bestFit="1" customWidth="1"/>
    <col min="4" max="4" width="209.6640625" customWidth="1"/>
    <col min="5" max="5" width="17.109375" customWidth="1"/>
    <col min="8" max="8" width="29.88671875" bestFit="1" customWidth="1"/>
    <col min="9" max="9" width="30.33203125" bestFit="1" customWidth="1"/>
    <col min="10" max="10" width="9" bestFit="1" customWidth="1"/>
    <col min="11" max="11" width="29.5546875" bestFit="1" customWidth="1"/>
    <col min="12" max="12" width="30.77734375" bestFit="1" customWidth="1"/>
    <col min="13" max="13" width="8.88671875"/>
  </cols>
  <sheetData>
    <row r="1" spans="1:35" ht="15.75" customHeight="1" x14ac:dyDescent="0.25">
      <c r="A1" s="3" t="s">
        <v>14</v>
      </c>
      <c r="B1" s="3" t="s">
        <v>15</v>
      </c>
      <c r="C1" s="3" t="s">
        <v>16</v>
      </c>
      <c r="D1" s="4" t="s">
        <v>17</v>
      </c>
      <c r="E1" s="3" t="s">
        <v>0</v>
      </c>
      <c r="H1" s="2" t="s">
        <v>18</v>
      </c>
      <c r="I1" s="1" t="s">
        <v>19</v>
      </c>
      <c r="J1" s="1" t="s">
        <v>20</v>
      </c>
    </row>
    <row r="2" spans="1:35" ht="15.75" customHeight="1" x14ac:dyDescent="0.25">
      <c r="A2" s="3" t="s">
        <v>60</v>
      </c>
      <c r="B2" s="3" t="s">
        <v>138</v>
      </c>
      <c r="C2" s="3" t="s">
        <v>138</v>
      </c>
      <c r="D2" s="1" t="s">
        <v>139</v>
      </c>
      <c r="E2" s="3" t="s">
        <v>8</v>
      </c>
      <c r="F2" t="s">
        <v>8</v>
      </c>
      <c r="G2" t="str">
        <f>IF(F2=Requirements!E2,"true","")</f>
        <v>true</v>
      </c>
      <c r="H2" s="3" t="s">
        <v>26</v>
      </c>
      <c r="I2" s="3"/>
      <c r="J2" s="3"/>
      <c r="K2" s="5" t="s">
        <v>26</v>
      </c>
    </row>
    <row r="3" spans="1:35" ht="15.75" customHeight="1" x14ac:dyDescent="0.25">
      <c r="A3" s="3" t="s">
        <v>60</v>
      </c>
      <c r="B3" s="3" t="s">
        <v>325</v>
      </c>
      <c r="C3" s="3" t="s">
        <v>325</v>
      </c>
      <c r="D3" s="1" t="s">
        <v>326</v>
      </c>
      <c r="E3" s="3" t="s">
        <v>8</v>
      </c>
      <c r="F3" t="s">
        <v>8</v>
      </c>
      <c r="G3" t="str">
        <f>IF(F3=Requirements!E3,"true","")</f>
        <v>true</v>
      </c>
      <c r="H3" s="3" t="s">
        <v>94</v>
      </c>
      <c r="I3" s="3"/>
      <c r="J3" s="3"/>
      <c r="K3" t="s">
        <v>26</v>
      </c>
      <c r="L3" t="s">
        <v>378</v>
      </c>
      <c r="M3" t="s">
        <v>379</v>
      </c>
      <c r="N3" t="s">
        <v>380</v>
      </c>
      <c r="O3" t="s">
        <v>381</v>
      </c>
    </row>
    <row r="4" spans="1:35" ht="15.75" customHeight="1" x14ac:dyDescent="0.25">
      <c r="A4" s="3" t="s">
        <v>60</v>
      </c>
      <c r="B4" s="3" t="s">
        <v>140</v>
      </c>
      <c r="C4" s="3" t="s">
        <v>140</v>
      </c>
      <c r="D4" s="1" t="s">
        <v>141</v>
      </c>
      <c r="E4" s="3" t="s">
        <v>8</v>
      </c>
      <c r="F4" t="s">
        <v>8</v>
      </c>
      <c r="G4" t="str">
        <f>IF(F4=Requirements!E4,"true","")</f>
        <v>true</v>
      </c>
      <c r="H4" s="3" t="s">
        <v>26</v>
      </c>
      <c r="I4" s="3"/>
      <c r="J4" s="3"/>
      <c r="K4" t="s">
        <v>32</v>
      </c>
    </row>
    <row r="5" spans="1:35" ht="15.75" customHeight="1" x14ac:dyDescent="0.25">
      <c r="A5" s="3" t="s">
        <v>60</v>
      </c>
      <c r="B5" s="3" t="s">
        <v>156</v>
      </c>
      <c r="C5" s="3" t="s">
        <v>156</v>
      </c>
      <c r="D5" s="1" t="s">
        <v>157</v>
      </c>
      <c r="E5" s="3" t="s">
        <v>8</v>
      </c>
      <c r="F5" t="s">
        <v>8</v>
      </c>
      <c r="G5" t="str">
        <f>IF(F5=Requirements!E5,"true","")</f>
        <v>true</v>
      </c>
      <c r="H5" s="3" t="s">
        <v>27</v>
      </c>
      <c r="I5" s="3"/>
      <c r="J5" s="3"/>
      <c r="K5" t="s">
        <v>32</v>
      </c>
      <c r="L5" t="s">
        <v>383</v>
      </c>
      <c r="M5" t="s">
        <v>384</v>
      </c>
      <c r="N5" t="s">
        <v>385</v>
      </c>
      <c r="O5" t="s">
        <v>379</v>
      </c>
      <c r="P5" t="s">
        <v>386</v>
      </c>
      <c r="Q5" t="s">
        <v>381</v>
      </c>
    </row>
    <row r="6" spans="1:35" ht="15.75" customHeight="1" x14ac:dyDescent="0.25">
      <c r="A6" s="3" t="s">
        <v>60</v>
      </c>
      <c r="B6" s="3" t="s">
        <v>61</v>
      </c>
      <c r="C6" s="3" t="s">
        <v>61</v>
      </c>
      <c r="D6" s="1" t="s">
        <v>62</v>
      </c>
      <c r="E6" s="3" t="s">
        <v>8</v>
      </c>
      <c r="F6" t="s">
        <v>8</v>
      </c>
      <c r="G6" t="str">
        <f>IF(F6=Requirements!E6,"true","")</f>
        <v>true</v>
      </c>
      <c r="H6" s="3" t="s">
        <v>26</v>
      </c>
      <c r="I6" s="3" t="s">
        <v>27</v>
      </c>
      <c r="J6" s="3"/>
      <c r="K6" t="s">
        <v>31</v>
      </c>
      <c r="L6" t="s">
        <v>387</v>
      </c>
      <c r="M6" t="s">
        <v>383</v>
      </c>
      <c r="N6" t="s">
        <v>384</v>
      </c>
      <c r="O6" t="s">
        <v>385</v>
      </c>
      <c r="P6" t="s">
        <v>378</v>
      </c>
      <c r="Q6" t="s">
        <v>388</v>
      </c>
      <c r="R6" t="s">
        <v>389</v>
      </c>
      <c r="S6" t="s">
        <v>379</v>
      </c>
      <c r="T6" t="s">
        <v>390</v>
      </c>
      <c r="U6" t="s">
        <v>391</v>
      </c>
      <c r="V6" t="s">
        <v>392</v>
      </c>
      <c r="W6" t="s">
        <v>393</v>
      </c>
      <c r="X6" t="s">
        <v>394</v>
      </c>
      <c r="Y6" t="s">
        <v>395</v>
      </c>
      <c r="Z6" t="s">
        <v>396</v>
      </c>
      <c r="AA6" t="s">
        <v>386</v>
      </c>
      <c r="AB6" t="s">
        <v>380</v>
      </c>
      <c r="AC6" t="s">
        <v>397</v>
      </c>
      <c r="AD6" t="s">
        <v>398</v>
      </c>
      <c r="AE6" t="s">
        <v>381</v>
      </c>
      <c r="AF6" t="s">
        <v>399</v>
      </c>
      <c r="AG6" t="s">
        <v>400</v>
      </c>
      <c r="AH6" t="s">
        <v>401</v>
      </c>
      <c r="AI6" t="s">
        <v>402</v>
      </c>
    </row>
    <row r="7" spans="1:35" ht="15.75" customHeight="1" x14ac:dyDescent="0.25">
      <c r="A7" s="3" t="s">
        <v>60</v>
      </c>
      <c r="B7" s="3" t="s">
        <v>335</v>
      </c>
      <c r="C7" s="3" t="s">
        <v>335</v>
      </c>
      <c r="D7" s="1" t="s">
        <v>336</v>
      </c>
      <c r="E7" s="3" t="s">
        <v>8</v>
      </c>
      <c r="F7" t="s">
        <v>8</v>
      </c>
      <c r="G7" t="str">
        <f>IF(F7=Requirements!E7,"true","")</f>
        <v>true</v>
      </c>
      <c r="H7" s="3" t="s">
        <v>100</v>
      </c>
      <c r="I7" s="3"/>
      <c r="J7" s="3"/>
      <c r="K7" t="s">
        <v>32</v>
      </c>
      <c r="L7" t="s">
        <v>385</v>
      </c>
      <c r="M7" t="s">
        <v>396</v>
      </c>
      <c r="N7" t="s">
        <v>386</v>
      </c>
      <c r="O7" t="s">
        <v>380</v>
      </c>
      <c r="P7" t="s">
        <v>381</v>
      </c>
    </row>
    <row r="8" spans="1:35" ht="15.75" customHeight="1" x14ac:dyDescent="0.25">
      <c r="A8" s="3" t="s">
        <v>60</v>
      </c>
      <c r="B8" s="3" t="s">
        <v>136</v>
      </c>
      <c r="C8" s="3" t="s">
        <v>136</v>
      </c>
      <c r="D8" s="1" t="s">
        <v>137</v>
      </c>
      <c r="E8" s="3" t="s">
        <v>8</v>
      </c>
      <c r="F8" t="s">
        <v>8</v>
      </c>
      <c r="G8" t="str">
        <f>IF(F8=Requirements!E8,"true","")</f>
        <v>true</v>
      </c>
      <c r="H8" s="3" t="s">
        <v>26</v>
      </c>
      <c r="I8" s="3"/>
      <c r="J8" s="3"/>
      <c r="K8" t="s">
        <v>26</v>
      </c>
    </row>
    <row r="9" spans="1:35" ht="15.75" customHeight="1" x14ac:dyDescent="0.25">
      <c r="A9" s="3" t="s">
        <v>60</v>
      </c>
      <c r="B9" s="3" t="s">
        <v>154</v>
      </c>
      <c r="C9" s="3" t="s">
        <v>154</v>
      </c>
      <c r="D9" s="1" t="s">
        <v>155</v>
      </c>
      <c r="E9" s="3" t="s">
        <v>8</v>
      </c>
      <c r="F9" t="s">
        <v>8</v>
      </c>
      <c r="G9" t="str">
        <f>IF(F9=Requirements!E9,"true","")</f>
        <v>true</v>
      </c>
      <c r="H9" s="3" t="s">
        <v>27</v>
      </c>
      <c r="I9" s="3"/>
      <c r="J9" s="3"/>
      <c r="K9" t="s">
        <v>32</v>
      </c>
      <c r="L9" t="s">
        <v>378</v>
      </c>
      <c r="M9" t="s">
        <v>380</v>
      </c>
    </row>
    <row r="10" spans="1:35" ht="15.75" customHeight="1" x14ac:dyDescent="0.25">
      <c r="A10" s="3" t="s">
        <v>109</v>
      </c>
      <c r="B10" s="3" t="s">
        <v>327</v>
      </c>
      <c r="C10" s="3" t="s">
        <v>328</v>
      </c>
      <c r="D10" s="1" t="s">
        <v>329</v>
      </c>
      <c r="E10" s="3" t="s">
        <v>1</v>
      </c>
      <c r="F10" t="s">
        <v>1</v>
      </c>
      <c r="G10" t="str">
        <f>IF(F10=Requirements!E10,"true","")</f>
        <v>true</v>
      </c>
      <c r="H10" s="3" t="s">
        <v>94</v>
      </c>
      <c r="I10" s="3"/>
      <c r="J10" s="3"/>
      <c r="K10" t="s">
        <v>32</v>
      </c>
      <c r="L10" t="s">
        <v>383</v>
      </c>
      <c r="M10" t="s">
        <v>384</v>
      </c>
      <c r="N10" t="s">
        <v>385</v>
      </c>
      <c r="O10" t="s">
        <v>380</v>
      </c>
      <c r="P10" t="s">
        <v>381</v>
      </c>
    </row>
    <row r="11" spans="1:35" ht="15.75" customHeight="1" x14ac:dyDescent="0.25">
      <c r="A11" s="3" t="s">
        <v>109</v>
      </c>
      <c r="B11" s="3" t="s">
        <v>116</v>
      </c>
      <c r="C11" s="3" t="s">
        <v>117</v>
      </c>
      <c r="D11" s="1" t="s">
        <v>118</v>
      </c>
      <c r="E11" s="3" t="s">
        <v>1</v>
      </c>
      <c r="F11" t="s">
        <v>1</v>
      </c>
      <c r="G11" t="str">
        <f>IF(F11=Requirements!E11,"true","")</f>
        <v>true</v>
      </c>
      <c r="H11" s="3" t="s">
        <v>32</v>
      </c>
      <c r="I11" s="3"/>
      <c r="J11" s="3"/>
      <c r="K11" t="s">
        <v>32</v>
      </c>
      <c r="L11" t="s">
        <v>385</v>
      </c>
      <c r="M11" t="s">
        <v>388</v>
      </c>
    </row>
    <row r="12" spans="1:35" ht="15.75" customHeight="1" x14ac:dyDescent="0.25">
      <c r="A12" s="3" t="s">
        <v>109</v>
      </c>
      <c r="B12" s="3" t="s">
        <v>110</v>
      </c>
      <c r="C12" s="3" t="s">
        <v>111</v>
      </c>
      <c r="D12" s="1" t="s">
        <v>112</v>
      </c>
      <c r="E12" s="3" t="s">
        <v>1</v>
      </c>
      <c r="F12" t="s">
        <v>1</v>
      </c>
      <c r="G12" t="str">
        <f>IF(F12=Requirements!E12,"true","")</f>
        <v>true</v>
      </c>
      <c r="H12" s="3" t="s">
        <v>32</v>
      </c>
      <c r="I12" s="3"/>
      <c r="J12" s="3"/>
      <c r="K12" t="s">
        <v>31</v>
      </c>
      <c r="L12" t="s">
        <v>387</v>
      </c>
      <c r="M12" t="s">
        <v>383</v>
      </c>
      <c r="N12" t="s">
        <v>384</v>
      </c>
      <c r="O12" t="s">
        <v>385</v>
      </c>
      <c r="P12" t="s">
        <v>378</v>
      </c>
      <c r="Q12" t="s">
        <v>388</v>
      </c>
      <c r="R12" t="s">
        <v>389</v>
      </c>
      <c r="S12" t="s">
        <v>379</v>
      </c>
      <c r="T12" t="s">
        <v>390</v>
      </c>
      <c r="U12" t="s">
        <v>391</v>
      </c>
      <c r="V12" t="s">
        <v>392</v>
      </c>
      <c r="W12" t="s">
        <v>393</v>
      </c>
      <c r="X12" t="s">
        <v>394</v>
      </c>
      <c r="Y12" t="s">
        <v>395</v>
      </c>
      <c r="Z12" t="s">
        <v>396</v>
      </c>
      <c r="AA12" t="s">
        <v>386</v>
      </c>
      <c r="AB12" t="s">
        <v>380</v>
      </c>
      <c r="AC12" t="s">
        <v>397</v>
      </c>
      <c r="AD12" t="s">
        <v>398</v>
      </c>
      <c r="AE12" t="s">
        <v>381</v>
      </c>
      <c r="AF12" t="s">
        <v>399</v>
      </c>
      <c r="AG12" t="s">
        <v>400</v>
      </c>
      <c r="AH12" t="s">
        <v>401</v>
      </c>
      <c r="AI12" t="s">
        <v>402</v>
      </c>
    </row>
    <row r="13" spans="1:35" ht="15.75" customHeight="1" x14ac:dyDescent="0.25">
      <c r="A13" s="3" t="s">
        <v>109</v>
      </c>
      <c r="B13" s="3" t="s">
        <v>113</v>
      </c>
      <c r="C13" s="3" t="s">
        <v>114</v>
      </c>
      <c r="D13" s="1" t="s">
        <v>115</v>
      </c>
      <c r="E13" s="3" t="s">
        <v>1</v>
      </c>
      <c r="F13" t="s">
        <v>1</v>
      </c>
      <c r="G13" t="str">
        <f>IF(F13=Requirements!E13,"true","")</f>
        <v>true</v>
      </c>
      <c r="H13" s="3" t="s">
        <v>32</v>
      </c>
      <c r="I13" s="3"/>
      <c r="J13" s="3"/>
      <c r="K13" t="s">
        <v>405</v>
      </c>
    </row>
    <row r="14" spans="1:35" ht="15.75" customHeight="1" x14ac:dyDescent="0.25">
      <c r="A14" s="3" t="s">
        <v>109</v>
      </c>
      <c r="B14" s="3" t="s">
        <v>119</v>
      </c>
      <c r="C14" s="3" t="s">
        <v>120</v>
      </c>
      <c r="D14" s="1" t="s">
        <v>121</v>
      </c>
      <c r="E14" s="3" t="s">
        <v>1</v>
      </c>
      <c r="F14" t="s">
        <v>1</v>
      </c>
      <c r="G14" t="str">
        <f>IF(F14=Requirements!E14,"true","")</f>
        <v>true</v>
      </c>
      <c r="H14" s="3" t="s">
        <v>32</v>
      </c>
      <c r="I14" s="3"/>
      <c r="J14" s="3"/>
      <c r="K14" t="s">
        <v>32</v>
      </c>
      <c r="L14" t="s">
        <v>383</v>
      </c>
      <c r="M14" t="s">
        <v>384</v>
      </c>
      <c r="N14" t="s">
        <v>385</v>
      </c>
      <c r="O14" t="s">
        <v>378</v>
      </c>
      <c r="P14" t="s">
        <v>379</v>
      </c>
      <c r="Q14" t="s">
        <v>393</v>
      </c>
      <c r="R14" t="s">
        <v>394</v>
      </c>
      <c r="S14" t="s">
        <v>396</v>
      </c>
      <c r="T14" t="s">
        <v>386</v>
      </c>
      <c r="U14" t="s">
        <v>380</v>
      </c>
      <c r="V14" t="s">
        <v>381</v>
      </c>
      <c r="W14" t="s">
        <v>400</v>
      </c>
    </row>
    <row r="15" spans="1:35" ht="15.75" customHeight="1" x14ac:dyDescent="0.25">
      <c r="A15" s="3" t="s">
        <v>109</v>
      </c>
      <c r="B15" s="3" t="s">
        <v>122</v>
      </c>
      <c r="C15" s="3" t="s">
        <v>123</v>
      </c>
      <c r="D15" s="1" t="s">
        <v>124</v>
      </c>
      <c r="E15" s="3" t="s">
        <v>1</v>
      </c>
      <c r="F15" t="s">
        <v>1</v>
      </c>
      <c r="G15" t="str">
        <f>IF(F15=Requirements!E15,"true","")</f>
        <v>true</v>
      </c>
      <c r="H15" s="3" t="s">
        <v>32</v>
      </c>
      <c r="I15" s="3"/>
      <c r="J15" s="3"/>
      <c r="K15" t="s">
        <v>32</v>
      </c>
      <c r="L15" t="s">
        <v>383</v>
      </c>
      <c r="M15" t="s">
        <v>384</v>
      </c>
      <c r="N15" t="s">
        <v>385</v>
      </c>
      <c r="O15" t="s">
        <v>378</v>
      </c>
      <c r="P15" t="s">
        <v>379</v>
      </c>
      <c r="Q15" t="s">
        <v>393</v>
      </c>
      <c r="R15" t="s">
        <v>394</v>
      </c>
      <c r="S15" t="s">
        <v>396</v>
      </c>
      <c r="T15" t="s">
        <v>386</v>
      </c>
      <c r="U15" t="s">
        <v>380</v>
      </c>
      <c r="V15" t="s">
        <v>381</v>
      </c>
      <c r="W15" t="s">
        <v>400</v>
      </c>
    </row>
    <row r="16" spans="1:35" ht="15.75" customHeight="1" x14ac:dyDescent="0.25">
      <c r="A16" s="3" t="s">
        <v>21</v>
      </c>
      <c r="B16" s="1" t="s">
        <v>22</v>
      </c>
      <c r="C16" s="3" t="s">
        <v>23</v>
      </c>
      <c r="D16" s="1" t="s">
        <v>24</v>
      </c>
      <c r="E16" s="3" t="s">
        <v>12</v>
      </c>
      <c r="F16" t="s">
        <v>367</v>
      </c>
      <c r="G16" t="str">
        <f>IF(F16=Requirements!E16,"true","")</f>
        <v/>
      </c>
      <c r="H16" s="3" t="s">
        <v>25</v>
      </c>
      <c r="I16" s="3" t="s">
        <v>26</v>
      </c>
      <c r="J16" s="3" t="s">
        <v>27</v>
      </c>
      <c r="K16" t="s">
        <v>55</v>
      </c>
    </row>
    <row r="17" spans="1:21" ht="15.75" customHeight="1" x14ac:dyDescent="0.25">
      <c r="A17" s="3" t="s">
        <v>21</v>
      </c>
      <c r="B17" s="1" t="s">
        <v>348</v>
      </c>
      <c r="C17" s="3" t="s">
        <v>349</v>
      </c>
      <c r="D17" s="1" t="s">
        <v>350</v>
      </c>
      <c r="E17" s="3" t="s">
        <v>12</v>
      </c>
      <c r="F17" t="s">
        <v>8</v>
      </c>
      <c r="G17" t="str">
        <f>IF(F17=Requirements!E17,"true","")</f>
        <v/>
      </c>
      <c r="H17" s="3" t="s">
        <v>100</v>
      </c>
      <c r="I17" s="3"/>
      <c r="J17" s="3"/>
      <c r="K17" t="s">
        <v>405</v>
      </c>
    </row>
    <row r="18" spans="1:21" ht="15.75" customHeight="1" x14ac:dyDescent="0.25">
      <c r="A18" s="3" t="s">
        <v>21</v>
      </c>
      <c r="B18" s="1" t="s">
        <v>148</v>
      </c>
      <c r="C18" s="3" t="s">
        <v>149</v>
      </c>
      <c r="D18" s="1" t="s">
        <v>150</v>
      </c>
      <c r="E18" s="3" t="s">
        <v>12</v>
      </c>
      <c r="F18" t="s">
        <v>367</v>
      </c>
      <c r="G18" t="str">
        <f>IF(F18=Requirements!E18,"true","")</f>
        <v/>
      </c>
      <c r="H18" s="3" t="s">
        <v>26</v>
      </c>
      <c r="I18" s="3"/>
      <c r="J18" s="3"/>
      <c r="K18" t="s">
        <v>405</v>
      </c>
    </row>
    <row r="19" spans="1:21" ht="15.75" customHeight="1" x14ac:dyDescent="0.25">
      <c r="A19" s="3" t="s">
        <v>21</v>
      </c>
      <c r="B19" s="1" t="s">
        <v>339</v>
      </c>
      <c r="C19" s="3" t="s">
        <v>340</v>
      </c>
      <c r="D19" s="1" t="s">
        <v>341</v>
      </c>
      <c r="E19" s="3" t="s">
        <v>12</v>
      </c>
      <c r="F19" t="s">
        <v>8</v>
      </c>
      <c r="G19" t="str">
        <f>IF(F19=Requirements!E19,"true","")</f>
        <v/>
      </c>
      <c r="H19" s="3" t="s">
        <v>100</v>
      </c>
      <c r="I19" s="3"/>
      <c r="J19" s="3"/>
      <c r="K19" t="s">
        <v>26</v>
      </c>
      <c r="L19" t="s">
        <v>386</v>
      </c>
    </row>
    <row r="20" spans="1:21" ht="15.75" customHeight="1" x14ac:dyDescent="0.25">
      <c r="A20" s="3" t="s">
        <v>50</v>
      </c>
      <c r="B20" s="1" t="s">
        <v>278</v>
      </c>
      <c r="C20" s="1" t="s">
        <v>279</v>
      </c>
      <c r="D20" s="3" t="s">
        <v>280</v>
      </c>
      <c r="E20" s="3" t="s">
        <v>54</v>
      </c>
      <c r="F20" t="s">
        <v>11</v>
      </c>
      <c r="G20" t="str">
        <f>IF(F20=Requirements!E20,"true","")</f>
        <v/>
      </c>
      <c r="H20" s="3" t="s">
        <v>59</v>
      </c>
      <c r="I20" s="3"/>
      <c r="J20" s="3"/>
      <c r="K20" t="s">
        <v>32</v>
      </c>
      <c r="L20" t="s">
        <v>383</v>
      </c>
      <c r="M20" t="s">
        <v>384</v>
      </c>
      <c r="N20" t="s">
        <v>385</v>
      </c>
      <c r="O20" t="s">
        <v>378</v>
      </c>
      <c r="P20" t="s">
        <v>388</v>
      </c>
      <c r="Q20" t="s">
        <v>392</v>
      </c>
      <c r="R20" t="s">
        <v>393</v>
      </c>
      <c r="S20" t="s">
        <v>394</v>
      </c>
      <c r="T20" t="s">
        <v>396</v>
      </c>
      <c r="U20" t="s">
        <v>381</v>
      </c>
    </row>
    <row r="21" spans="1:21" ht="15.75" customHeight="1" x14ac:dyDescent="0.25">
      <c r="A21" s="3" t="s">
        <v>85</v>
      </c>
      <c r="B21" s="1" t="s">
        <v>276</v>
      </c>
      <c r="C21" s="1" t="s">
        <v>276</v>
      </c>
      <c r="D21" s="3" t="s">
        <v>277</v>
      </c>
      <c r="E21" s="3" t="s">
        <v>54</v>
      </c>
      <c r="F21" t="s">
        <v>54</v>
      </c>
      <c r="G21" t="str">
        <f>IF(F21=Requirements!E21,"true","")</f>
        <v>true</v>
      </c>
      <c r="H21" s="3" t="s">
        <v>59</v>
      </c>
      <c r="I21" s="3"/>
      <c r="J21" s="3"/>
      <c r="K21" t="s">
        <v>26</v>
      </c>
    </row>
    <row r="22" spans="1:21" ht="15.75" customHeight="1" x14ac:dyDescent="0.25">
      <c r="A22" s="3" t="s">
        <v>133</v>
      </c>
      <c r="B22" s="1" t="s">
        <v>134</v>
      </c>
      <c r="C22" s="1" t="s">
        <v>134</v>
      </c>
      <c r="D22" s="3" t="s">
        <v>135</v>
      </c>
      <c r="E22" s="3" t="s">
        <v>7</v>
      </c>
      <c r="F22" t="s">
        <v>8</v>
      </c>
      <c r="G22" t="str">
        <f>IF(F22=Requirements!E22,"true","")</f>
        <v/>
      </c>
      <c r="H22" s="3" t="s">
        <v>45</v>
      </c>
      <c r="I22" s="3"/>
      <c r="J22" s="3"/>
      <c r="K22" t="s">
        <v>32</v>
      </c>
      <c r="L22" t="s">
        <v>383</v>
      </c>
      <c r="M22" t="s">
        <v>384</v>
      </c>
      <c r="N22" t="s">
        <v>378</v>
      </c>
      <c r="O22" t="s">
        <v>388</v>
      </c>
      <c r="P22" t="s">
        <v>392</v>
      </c>
      <c r="Q22" t="s">
        <v>380</v>
      </c>
      <c r="R22" t="s">
        <v>381</v>
      </c>
    </row>
    <row r="23" spans="1:21" ht="15.75" customHeight="1" x14ac:dyDescent="0.25">
      <c r="A23" s="3" t="s">
        <v>37</v>
      </c>
      <c r="B23" s="1" t="s">
        <v>224</v>
      </c>
      <c r="C23" s="1" t="s">
        <v>224</v>
      </c>
      <c r="D23" s="1" t="s">
        <v>225</v>
      </c>
      <c r="E23" s="3" t="s">
        <v>13</v>
      </c>
      <c r="F23" t="s">
        <v>13</v>
      </c>
      <c r="G23" t="str">
        <f>IF(F23=Requirements!E23,"true","")</f>
        <v>true</v>
      </c>
      <c r="H23" s="3" t="s">
        <v>217</v>
      </c>
      <c r="I23" s="3"/>
      <c r="J23" s="3"/>
      <c r="K23" t="s">
        <v>32</v>
      </c>
      <c r="L23" t="s">
        <v>383</v>
      </c>
      <c r="M23" t="s">
        <v>385</v>
      </c>
      <c r="N23" t="s">
        <v>379</v>
      </c>
      <c r="O23" t="s">
        <v>393</v>
      </c>
      <c r="P23" t="s">
        <v>386</v>
      </c>
      <c r="Q23" t="s">
        <v>380</v>
      </c>
      <c r="R23" t="s">
        <v>381</v>
      </c>
      <c r="S23" t="s">
        <v>400</v>
      </c>
    </row>
    <row r="24" spans="1:21" ht="15.75" customHeight="1" x14ac:dyDescent="0.25">
      <c r="A24" s="3" t="s">
        <v>50</v>
      </c>
      <c r="B24" s="1" t="s">
        <v>281</v>
      </c>
      <c r="C24" s="1" t="s">
        <v>282</v>
      </c>
      <c r="D24" s="3" t="s">
        <v>283</v>
      </c>
      <c r="E24" s="3" t="s">
        <v>54</v>
      </c>
      <c r="F24" t="s">
        <v>8</v>
      </c>
      <c r="G24" t="str">
        <f>IF(F24=Requirements!E24,"true","")</f>
        <v/>
      </c>
      <c r="H24" s="3" t="s">
        <v>59</v>
      </c>
      <c r="I24" s="3"/>
      <c r="J24" s="3"/>
      <c r="K24" t="s">
        <v>26</v>
      </c>
    </row>
    <row r="25" spans="1:21" ht="15.75" customHeight="1" x14ac:dyDescent="0.25">
      <c r="A25" s="3" t="s">
        <v>50</v>
      </c>
      <c r="B25" s="1" t="s">
        <v>56</v>
      </c>
      <c r="C25" s="1" t="s">
        <v>57</v>
      </c>
      <c r="D25" s="3" t="s">
        <v>58</v>
      </c>
      <c r="E25" s="3" t="s">
        <v>54</v>
      </c>
      <c r="F25" t="s">
        <v>54</v>
      </c>
      <c r="G25" t="str">
        <f>IF(F25=Requirements!E25,"true","")</f>
        <v>true</v>
      </c>
      <c r="H25" s="3" t="s">
        <v>59</v>
      </c>
      <c r="I25" s="3" t="s">
        <v>26</v>
      </c>
      <c r="J25" s="3"/>
      <c r="K25" t="s">
        <v>405</v>
      </c>
    </row>
    <row r="26" spans="1:21" ht="15.75" customHeight="1" x14ac:dyDescent="0.25">
      <c r="A26" s="3" t="s">
        <v>88</v>
      </c>
      <c r="B26" s="1" t="s">
        <v>127</v>
      </c>
      <c r="C26" s="1" t="s">
        <v>128</v>
      </c>
      <c r="D26" s="1" t="s">
        <v>129</v>
      </c>
      <c r="E26" s="3" t="s">
        <v>4</v>
      </c>
      <c r="F26" t="s">
        <v>4</v>
      </c>
      <c r="G26" t="str">
        <f>IF(F26=Requirements!E26,"true","")</f>
        <v>true</v>
      </c>
      <c r="H26" s="3" t="s">
        <v>32</v>
      </c>
      <c r="I26" s="3"/>
      <c r="J26" s="3"/>
      <c r="K26" t="s">
        <v>405</v>
      </c>
    </row>
    <row r="27" spans="1:21" ht="15.75" customHeight="1" x14ac:dyDescent="0.25">
      <c r="A27" s="3" t="s">
        <v>81</v>
      </c>
      <c r="B27" s="1" t="s">
        <v>125</v>
      </c>
      <c r="C27" s="1" t="s">
        <v>125</v>
      </c>
      <c r="D27" s="1" t="s">
        <v>126</v>
      </c>
      <c r="E27" s="3" t="s">
        <v>6</v>
      </c>
      <c r="F27" t="s">
        <v>8</v>
      </c>
      <c r="G27" t="str">
        <f>IF(F27=Requirements!E27,"true","")</f>
        <v/>
      </c>
      <c r="H27" s="3" t="s">
        <v>32</v>
      </c>
      <c r="I27" s="3"/>
      <c r="J27" s="3"/>
      <c r="K27" t="s">
        <v>410</v>
      </c>
    </row>
    <row r="28" spans="1:21" ht="15.75" customHeight="1" x14ac:dyDescent="0.25">
      <c r="A28" s="3" t="s">
        <v>88</v>
      </c>
      <c r="B28" s="1" t="s">
        <v>103</v>
      </c>
      <c r="C28" s="1" t="s">
        <v>104</v>
      </c>
      <c r="D28" s="1" t="s">
        <v>105</v>
      </c>
      <c r="E28" s="3" t="s">
        <v>4</v>
      </c>
      <c r="F28" t="s">
        <v>368</v>
      </c>
      <c r="G28" t="str">
        <f>IF(F28=Requirements!E28,"true","")</f>
        <v/>
      </c>
      <c r="H28" s="3" t="s">
        <v>31</v>
      </c>
      <c r="I28" s="3"/>
      <c r="J28" s="3"/>
      <c r="K28" t="s">
        <v>32</v>
      </c>
      <c r="L28" t="s">
        <v>383</v>
      </c>
      <c r="M28" t="s">
        <v>384</v>
      </c>
      <c r="N28" t="s">
        <v>385</v>
      </c>
      <c r="O28" t="s">
        <v>378</v>
      </c>
      <c r="P28" t="s">
        <v>388</v>
      </c>
      <c r="Q28" t="s">
        <v>392</v>
      </c>
      <c r="R28" t="s">
        <v>393</v>
      </c>
      <c r="S28" t="s">
        <v>394</v>
      </c>
      <c r="T28" t="s">
        <v>396</v>
      </c>
      <c r="U28" t="s">
        <v>381</v>
      </c>
    </row>
    <row r="29" spans="1:21" ht="15.75" customHeight="1" x14ac:dyDescent="0.25">
      <c r="A29" s="3" t="s">
        <v>257</v>
      </c>
      <c r="B29" s="1" t="s">
        <v>258</v>
      </c>
      <c r="C29" s="1" t="s">
        <v>258</v>
      </c>
      <c r="D29" s="1" t="s">
        <v>259</v>
      </c>
      <c r="E29" s="3" t="s">
        <v>6</v>
      </c>
      <c r="F29" t="s">
        <v>6</v>
      </c>
      <c r="G29" t="str">
        <f>IF(F29=Requirements!E29,"true","")</f>
        <v>true</v>
      </c>
      <c r="H29" s="3" t="s">
        <v>84</v>
      </c>
      <c r="I29" s="3"/>
      <c r="J29" s="3"/>
      <c r="K29" t="s">
        <v>32</v>
      </c>
      <c r="L29" t="s">
        <v>383</v>
      </c>
      <c r="M29" t="s">
        <v>384</v>
      </c>
      <c r="N29" t="s">
        <v>385</v>
      </c>
      <c r="O29" t="s">
        <v>378</v>
      </c>
      <c r="P29" t="s">
        <v>393</v>
      </c>
      <c r="Q29" t="s">
        <v>396</v>
      </c>
      <c r="R29" t="s">
        <v>386</v>
      </c>
      <c r="S29" t="s">
        <v>381</v>
      </c>
      <c r="T29" t="s">
        <v>400</v>
      </c>
    </row>
    <row r="30" spans="1:21" ht="15.75" customHeight="1" x14ac:dyDescent="0.25">
      <c r="A30" s="3" t="s">
        <v>257</v>
      </c>
      <c r="B30" s="1" t="s">
        <v>272</v>
      </c>
      <c r="C30" s="1" t="s">
        <v>272</v>
      </c>
      <c r="D30" s="1" t="s">
        <v>273</v>
      </c>
      <c r="E30" s="3" t="s">
        <v>6</v>
      </c>
      <c r="F30" t="s">
        <v>6</v>
      </c>
      <c r="G30" t="str">
        <f>IF(F30=Requirements!E30,"true","")</f>
        <v>true</v>
      </c>
      <c r="H30" s="3" t="s">
        <v>59</v>
      </c>
      <c r="I30" s="3"/>
      <c r="J30" s="3"/>
      <c r="K30" t="s">
        <v>45</v>
      </c>
      <c r="L30" t="s">
        <v>384</v>
      </c>
      <c r="M30" t="s">
        <v>385</v>
      </c>
      <c r="N30" t="s">
        <v>379</v>
      </c>
      <c r="O30" t="s">
        <v>393</v>
      </c>
      <c r="P30" t="s">
        <v>386</v>
      </c>
      <c r="Q30" t="s">
        <v>381</v>
      </c>
      <c r="R30" t="s">
        <v>400</v>
      </c>
    </row>
    <row r="31" spans="1:21" ht="15.75" customHeight="1" x14ac:dyDescent="0.25">
      <c r="A31" s="3" t="s">
        <v>257</v>
      </c>
      <c r="B31" s="1" t="s">
        <v>308</v>
      </c>
      <c r="C31" s="1" t="s">
        <v>308</v>
      </c>
      <c r="D31" s="1" t="s">
        <v>309</v>
      </c>
      <c r="E31" s="3" t="s">
        <v>6</v>
      </c>
      <c r="F31" t="s">
        <v>6</v>
      </c>
      <c r="G31" t="str">
        <f>IF(F31=Requirements!E31,"true","")</f>
        <v>true</v>
      </c>
      <c r="H31" s="3" t="s">
        <v>73</v>
      </c>
      <c r="I31" s="3"/>
      <c r="J31" s="3"/>
      <c r="K31" t="s">
        <v>32</v>
      </c>
      <c r="L31" t="s">
        <v>383</v>
      </c>
      <c r="M31" t="s">
        <v>384</v>
      </c>
      <c r="N31" t="s">
        <v>385</v>
      </c>
      <c r="O31" t="s">
        <v>378</v>
      </c>
      <c r="P31" t="s">
        <v>388</v>
      </c>
      <c r="Q31" t="s">
        <v>392</v>
      </c>
      <c r="R31" t="s">
        <v>393</v>
      </c>
      <c r="S31" t="s">
        <v>394</v>
      </c>
      <c r="T31" t="s">
        <v>396</v>
      </c>
      <c r="U31" t="s">
        <v>381</v>
      </c>
    </row>
    <row r="32" spans="1:21" ht="15.75" customHeight="1" x14ac:dyDescent="0.25">
      <c r="A32" s="3" t="s">
        <v>41</v>
      </c>
      <c r="B32" s="1" t="s">
        <v>145</v>
      </c>
      <c r="C32" s="1" t="s">
        <v>146</v>
      </c>
      <c r="D32" s="1" t="s">
        <v>147</v>
      </c>
      <c r="E32" s="3" t="s">
        <v>5</v>
      </c>
      <c r="F32" t="s">
        <v>5</v>
      </c>
      <c r="G32" t="str">
        <f>IF(F32=Requirements!E32,"true","")</f>
        <v>true</v>
      </c>
      <c r="H32" s="3" t="s">
        <v>26</v>
      </c>
      <c r="I32" s="3"/>
      <c r="J32" s="3"/>
      <c r="K32" t="s">
        <v>32</v>
      </c>
      <c r="L32" t="s">
        <v>383</v>
      </c>
      <c r="M32" t="s">
        <v>384</v>
      </c>
      <c r="N32" t="s">
        <v>385</v>
      </c>
      <c r="O32" t="s">
        <v>393</v>
      </c>
      <c r="P32" t="s">
        <v>394</v>
      </c>
      <c r="Q32" t="s">
        <v>396</v>
      </c>
      <c r="R32" t="s">
        <v>386</v>
      </c>
      <c r="S32" t="s">
        <v>380</v>
      </c>
      <c r="T32" t="s">
        <v>381</v>
      </c>
      <c r="U32" t="s">
        <v>400</v>
      </c>
    </row>
    <row r="33" spans="1:35" ht="15.75" customHeight="1" x14ac:dyDescent="0.25">
      <c r="A33" s="3" t="s">
        <v>41</v>
      </c>
      <c r="B33" s="1" t="s">
        <v>166</v>
      </c>
      <c r="C33" s="1" t="s">
        <v>167</v>
      </c>
      <c r="D33" s="1" t="s">
        <v>168</v>
      </c>
      <c r="E33" s="3" t="s">
        <v>5</v>
      </c>
      <c r="F33" t="s">
        <v>5</v>
      </c>
      <c r="G33" t="str">
        <f>IF(F33=Requirements!E33,"true","")</f>
        <v>true</v>
      </c>
      <c r="H33" s="3" t="s">
        <v>65</v>
      </c>
      <c r="I33" s="3"/>
      <c r="J33" s="3"/>
      <c r="K33" t="s">
        <v>65</v>
      </c>
    </row>
    <row r="34" spans="1:35" ht="15.75" customHeight="1" x14ac:dyDescent="0.25">
      <c r="A34" s="3" t="s">
        <v>41</v>
      </c>
      <c r="B34" s="1" t="s">
        <v>284</v>
      </c>
      <c r="C34" s="1" t="s">
        <v>285</v>
      </c>
      <c r="D34" s="1" t="s">
        <v>286</v>
      </c>
      <c r="E34" s="3" t="s">
        <v>5</v>
      </c>
      <c r="F34" t="s">
        <v>5</v>
      </c>
      <c r="G34" t="str">
        <f>IF(F34=Requirements!E34,"true","")</f>
        <v>true</v>
      </c>
      <c r="H34" s="3" t="s">
        <v>77</v>
      </c>
      <c r="I34" s="3"/>
      <c r="J34" s="3"/>
      <c r="K34" t="s">
        <v>32</v>
      </c>
      <c r="L34" t="s">
        <v>383</v>
      </c>
      <c r="M34" t="s">
        <v>385</v>
      </c>
      <c r="N34" t="s">
        <v>378</v>
      </c>
      <c r="O34" t="s">
        <v>388</v>
      </c>
      <c r="P34" t="s">
        <v>390</v>
      </c>
      <c r="Q34" t="s">
        <v>391</v>
      </c>
      <c r="R34" t="s">
        <v>392</v>
      </c>
      <c r="S34" t="s">
        <v>393</v>
      </c>
      <c r="T34" t="s">
        <v>394</v>
      </c>
      <c r="U34" t="s">
        <v>396</v>
      </c>
      <c r="V34" t="s">
        <v>380</v>
      </c>
      <c r="W34" t="s">
        <v>381</v>
      </c>
      <c r="X34" t="s">
        <v>400</v>
      </c>
      <c r="Y34" t="s">
        <v>401</v>
      </c>
    </row>
    <row r="35" spans="1:35" ht="15.75" customHeight="1" x14ac:dyDescent="0.25">
      <c r="A35" s="3" t="s">
        <v>70</v>
      </c>
      <c r="B35" s="1" t="s">
        <v>289</v>
      </c>
      <c r="C35" s="1" t="s">
        <v>289</v>
      </c>
      <c r="D35" s="1" t="s">
        <v>290</v>
      </c>
      <c r="E35" s="3" t="s">
        <v>5</v>
      </c>
      <c r="F35" t="s">
        <v>5</v>
      </c>
      <c r="G35" t="str">
        <f>IF(F35=Requirements!E35,"true","")</f>
        <v>true</v>
      </c>
      <c r="H35" s="3" t="s">
        <v>77</v>
      </c>
      <c r="I35" s="3"/>
      <c r="J35" s="3"/>
      <c r="K35" t="s">
        <v>45</v>
      </c>
      <c r="L35" t="s">
        <v>388</v>
      </c>
      <c r="M35" t="s">
        <v>379</v>
      </c>
      <c r="N35" t="s">
        <v>392</v>
      </c>
      <c r="O35" t="s">
        <v>393</v>
      </c>
      <c r="P35" t="s">
        <v>381</v>
      </c>
      <c r="Q35" t="s">
        <v>400</v>
      </c>
    </row>
    <row r="36" spans="1:35" ht="15.75" customHeight="1" x14ac:dyDescent="0.25">
      <c r="A36" s="3" t="s">
        <v>41</v>
      </c>
      <c r="B36" s="1" t="s">
        <v>310</v>
      </c>
      <c r="C36" s="1" t="s">
        <v>311</v>
      </c>
      <c r="D36" s="1" t="s">
        <v>312</v>
      </c>
      <c r="E36" s="3" t="s">
        <v>5</v>
      </c>
      <c r="F36" t="s">
        <v>5</v>
      </c>
      <c r="G36" t="str">
        <f>IF(F36=Requirements!E36,"true","")</f>
        <v>true</v>
      </c>
      <c r="H36" s="3" t="s">
        <v>73</v>
      </c>
      <c r="I36" s="3"/>
      <c r="J36" s="3"/>
      <c r="K36" t="s">
        <v>231</v>
      </c>
      <c r="L36" t="s">
        <v>400</v>
      </c>
    </row>
    <row r="37" spans="1:35" ht="15.75" customHeight="1" x14ac:dyDescent="0.25">
      <c r="A37" s="3" t="s">
        <v>70</v>
      </c>
      <c r="B37" s="1" t="s">
        <v>287</v>
      </c>
      <c r="C37" s="1" t="s">
        <v>287</v>
      </c>
      <c r="D37" s="1" t="s">
        <v>288</v>
      </c>
      <c r="E37" s="3" t="s">
        <v>5</v>
      </c>
      <c r="F37" t="s">
        <v>5</v>
      </c>
      <c r="G37" t="str">
        <f>IF(F37=Requirements!E37,"true","")</f>
        <v>true</v>
      </c>
      <c r="H37" s="3" t="s">
        <v>77</v>
      </c>
      <c r="I37" s="3"/>
      <c r="J37" s="3"/>
      <c r="K37" t="s">
        <v>32</v>
      </c>
      <c r="L37" t="s">
        <v>385</v>
      </c>
      <c r="M37" t="s">
        <v>386</v>
      </c>
      <c r="N37" t="s">
        <v>381</v>
      </c>
      <c r="O37" t="s">
        <v>400</v>
      </c>
    </row>
    <row r="38" spans="1:35" ht="15.75" customHeight="1" x14ac:dyDescent="0.25">
      <c r="A38" s="3" t="s">
        <v>41</v>
      </c>
      <c r="B38" s="1" t="s">
        <v>130</v>
      </c>
      <c r="C38" s="1" t="s">
        <v>131</v>
      </c>
      <c r="D38" s="1" t="s">
        <v>132</v>
      </c>
      <c r="E38" s="3" t="s">
        <v>5</v>
      </c>
      <c r="F38" t="s">
        <v>5</v>
      </c>
      <c r="G38" t="str">
        <f>IF(F38=Requirements!E38,"true","")</f>
        <v>true</v>
      </c>
      <c r="H38" s="3" t="s">
        <v>32</v>
      </c>
      <c r="I38" s="3"/>
      <c r="J38" s="3"/>
      <c r="K38" t="s">
        <v>32</v>
      </c>
      <c r="L38" t="s">
        <v>383</v>
      </c>
      <c r="M38" t="s">
        <v>384</v>
      </c>
      <c r="N38" t="s">
        <v>385</v>
      </c>
      <c r="O38" t="s">
        <v>378</v>
      </c>
      <c r="P38" t="s">
        <v>388</v>
      </c>
      <c r="Q38" t="s">
        <v>392</v>
      </c>
      <c r="R38" t="s">
        <v>393</v>
      </c>
      <c r="S38" t="s">
        <v>394</v>
      </c>
      <c r="T38" t="s">
        <v>396</v>
      </c>
      <c r="U38" t="s">
        <v>386</v>
      </c>
      <c r="V38" t="s">
        <v>380</v>
      </c>
      <c r="W38" t="s">
        <v>381</v>
      </c>
      <c r="X38" t="s">
        <v>400</v>
      </c>
      <c r="Y38" t="s">
        <v>401</v>
      </c>
    </row>
    <row r="39" spans="1:35" ht="15.75" customHeight="1" x14ac:dyDescent="0.25">
      <c r="A39" s="3" t="s">
        <v>70</v>
      </c>
      <c r="B39" s="1" t="s">
        <v>315</v>
      </c>
      <c r="C39" s="1" t="s">
        <v>315</v>
      </c>
      <c r="D39" s="1" t="s">
        <v>316</v>
      </c>
      <c r="E39" s="3" t="s">
        <v>5</v>
      </c>
      <c r="F39" t="s">
        <v>5</v>
      </c>
      <c r="G39" t="str">
        <f>IF(F39=Requirements!E39,"true","")</f>
        <v>true</v>
      </c>
      <c r="H39" s="3" t="s">
        <v>73</v>
      </c>
      <c r="I39" s="3"/>
      <c r="J39" s="3"/>
      <c r="K39" t="s">
        <v>32</v>
      </c>
      <c r="L39" t="s">
        <v>378</v>
      </c>
      <c r="M39" t="s">
        <v>380</v>
      </c>
    </row>
    <row r="40" spans="1:35" ht="15.75" customHeight="1" x14ac:dyDescent="0.25">
      <c r="A40" s="3" t="s">
        <v>41</v>
      </c>
      <c r="B40" s="1" t="s">
        <v>240</v>
      </c>
      <c r="C40" s="1" t="s">
        <v>241</v>
      </c>
      <c r="D40" s="1" t="s">
        <v>242</v>
      </c>
      <c r="E40" s="3" t="s">
        <v>5</v>
      </c>
      <c r="F40" t="s">
        <v>5</v>
      </c>
      <c r="G40" t="str">
        <f>IF(F40=Requirements!E40,"true","")</f>
        <v>true</v>
      </c>
      <c r="H40" s="3" t="s">
        <v>25</v>
      </c>
      <c r="I40" s="3"/>
      <c r="J40" s="3"/>
      <c r="K40" t="s">
        <v>32</v>
      </c>
    </row>
    <row r="41" spans="1:35" ht="15.75" customHeight="1" x14ac:dyDescent="0.25">
      <c r="A41" s="3" t="s">
        <v>70</v>
      </c>
      <c r="B41" s="1" t="s">
        <v>71</v>
      </c>
      <c r="C41" s="1" t="s">
        <v>71</v>
      </c>
      <c r="D41" s="1" t="s">
        <v>72</v>
      </c>
      <c r="E41" s="3" t="s">
        <v>5</v>
      </c>
      <c r="F41" t="s">
        <v>5</v>
      </c>
      <c r="G41" t="str">
        <f>IF(F41=Requirements!E41,"true","")</f>
        <v>true</v>
      </c>
      <c r="H41" s="3" t="s">
        <v>73</v>
      </c>
      <c r="I41" s="3" t="s">
        <v>65</v>
      </c>
      <c r="J41" s="3"/>
      <c r="K41" t="s">
        <v>405</v>
      </c>
    </row>
    <row r="42" spans="1:35" ht="15.75" customHeight="1" x14ac:dyDescent="0.25">
      <c r="A42" s="3" t="s">
        <v>70</v>
      </c>
      <c r="B42" s="1" t="s">
        <v>313</v>
      </c>
      <c r="C42" s="1" t="s">
        <v>313</v>
      </c>
      <c r="D42" s="1" t="s">
        <v>314</v>
      </c>
      <c r="E42" s="3" t="s">
        <v>5</v>
      </c>
      <c r="F42" t="s">
        <v>5</v>
      </c>
      <c r="G42" t="str">
        <f>IF(F42=Requirements!E42,"true","")</f>
        <v>true</v>
      </c>
      <c r="H42" s="3" t="s">
        <v>73</v>
      </c>
      <c r="I42" s="3"/>
      <c r="J42" s="3"/>
      <c r="K42" t="s">
        <v>73</v>
      </c>
    </row>
    <row r="43" spans="1:35" ht="15.75" customHeight="1" x14ac:dyDescent="0.25">
      <c r="A43" s="3" t="s">
        <v>70</v>
      </c>
      <c r="B43" s="1" t="s">
        <v>317</v>
      </c>
      <c r="C43" s="1" t="s">
        <v>317</v>
      </c>
      <c r="D43" s="1" t="s">
        <v>318</v>
      </c>
      <c r="E43" s="3" t="s">
        <v>5</v>
      </c>
      <c r="F43" t="s">
        <v>5</v>
      </c>
      <c r="G43" t="str">
        <f>IF(F43=Requirements!E43,"true","")</f>
        <v>true</v>
      </c>
      <c r="H43" s="3" t="s">
        <v>73</v>
      </c>
      <c r="I43" s="3"/>
      <c r="J43" s="3"/>
      <c r="K43" t="s">
        <v>65</v>
      </c>
      <c r="L43" t="s">
        <v>379</v>
      </c>
      <c r="M43" t="s">
        <v>392</v>
      </c>
    </row>
    <row r="44" spans="1:35" ht="15.75" customHeight="1" x14ac:dyDescent="0.25">
      <c r="A44" s="3" t="s">
        <v>70</v>
      </c>
      <c r="B44" s="1" t="s">
        <v>291</v>
      </c>
      <c r="C44" s="1" t="s">
        <v>291</v>
      </c>
      <c r="D44" s="1" t="s">
        <v>292</v>
      </c>
      <c r="E44" s="3" t="s">
        <v>5</v>
      </c>
      <c r="F44" t="s">
        <v>5</v>
      </c>
      <c r="G44" t="str">
        <f>IF(F44=Requirements!E44,"true","")</f>
        <v>true</v>
      </c>
      <c r="H44" s="3" t="s">
        <v>77</v>
      </c>
      <c r="I44" s="3"/>
      <c r="J44" s="3"/>
      <c r="K44" t="s">
        <v>405</v>
      </c>
    </row>
    <row r="45" spans="1:35" ht="15.75" customHeight="1" x14ac:dyDescent="0.25">
      <c r="A45" s="3" t="s">
        <v>41</v>
      </c>
      <c r="B45" s="1" t="s">
        <v>163</v>
      </c>
      <c r="C45" s="1" t="s">
        <v>164</v>
      </c>
      <c r="D45" s="1" t="s">
        <v>165</v>
      </c>
      <c r="E45" s="3" t="s">
        <v>5</v>
      </c>
      <c r="F45" t="s">
        <v>5</v>
      </c>
      <c r="G45" t="str">
        <f>IF(F45=Requirements!E45,"true","")</f>
        <v>true</v>
      </c>
      <c r="H45" s="3" t="s">
        <v>65</v>
      </c>
      <c r="I45" s="3"/>
      <c r="J45" s="3"/>
      <c r="K45" t="s">
        <v>31</v>
      </c>
      <c r="L45" t="s">
        <v>387</v>
      </c>
      <c r="M45" t="s">
        <v>383</v>
      </c>
      <c r="N45" t="s">
        <v>384</v>
      </c>
      <c r="O45" t="s">
        <v>385</v>
      </c>
      <c r="P45" t="s">
        <v>378</v>
      </c>
      <c r="Q45" t="s">
        <v>388</v>
      </c>
      <c r="R45" t="s">
        <v>389</v>
      </c>
      <c r="S45" t="s">
        <v>379</v>
      </c>
      <c r="T45" t="s">
        <v>390</v>
      </c>
      <c r="U45" t="s">
        <v>391</v>
      </c>
      <c r="V45" t="s">
        <v>392</v>
      </c>
      <c r="W45" t="s">
        <v>393</v>
      </c>
      <c r="X45" t="s">
        <v>394</v>
      </c>
      <c r="Y45" t="s">
        <v>395</v>
      </c>
      <c r="Z45" t="s">
        <v>396</v>
      </c>
      <c r="AA45" t="s">
        <v>386</v>
      </c>
      <c r="AB45" t="s">
        <v>380</v>
      </c>
      <c r="AC45" t="s">
        <v>397</v>
      </c>
      <c r="AD45" t="s">
        <v>398</v>
      </c>
      <c r="AE45" t="s">
        <v>381</v>
      </c>
      <c r="AF45" t="s">
        <v>399</v>
      </c>
      <c r="AG45" t="s">
        <v>400</v>
      </c>
      <c r="AH45" t="s">
        <v>401</v>
      </c>
      <c r="AI45" t="s">
        <v>402</v>
      </c>
    </row>
    <row r="46" spans="1:35" ht="15.75" customHeight="1" x14ac:dyDescent="0.25">
      <c r="A46" s="3" t="s">
        <v>41</v>
      </c>
      <c r="B46" s="1" t="s">
        <v>237</v>
      </c>
      <c r="C46" s="1" t="s">
        <v>238</v>
      </c>
      <c r="D46" s="1" t="s">
        <v>239</v>
      </c>
      <c r="E46" s="3" t="s">
        <v>5</v>
      </c>
      <c r="F46" t="s">
        <v>5</v>
      </c>
      <c r="G46" t="str">
        <f>IF(F46=Requirements!E46,"true","")</f>
        <v>true</v>
      </c>
      <c r="H46" s="3" t="s">
        <v>25</v>
      </c>
      <c r="I46" s="3"/>
      <c r="J46" s="3"/>
      <c r="K46" t="s">
        <v>32</v>
      </c>
      <c r="L46" t="s">
        <v>383</v>
      </c>
      <c r="M46" t="s">
        <v>384</v>
      </c>
      <c r="N46" t="s">
        <v>378</v>
      </c>
      <c r="O46" t="s">
        <v>388</v>
      </c>
      <c r="P46" t="s">
        <v>379</v>
      </c>
      <c r="Q46" t="s">
        <v>380</v>
      </c>
      <c r="R46" t="s">
        <v>401</v>
      </c>
    </row>
    <row r="47" spans="1:35" ht="15.75" customHeight="1" x14ac:dyDescent="0.25">
      <c r="A47" s="3" t="s">
        <v>70</v>
      </c>
      <c r="B47" s="1" t="s">
        <v>319</v>
      </c>
      <c r="C47" s="1" t="s">
        <v>319</v>
      </c>
      <c r="D47" s="1" t="s">
        <v>320</v>
      </c>
      <c r="E47" s="3" t="s">
        <v>5</v>
      </c>
      <c r="F47" t="s">
        <v>5</v>
      </c>
      <c r="G47" t="str">
        <f>IF(F47=Requirements!E47,"true","")</f>
        <v>true</v>
      </c>
      <c r="H47" s="3" t="s">
        <v>73</v>
      </c>
      <c r="I47" s="3"/>
      <c r="J47" s="3"/>
      <c r="K47" t="s">
        <v>405</v>
      </c>
    </row>
    <row r="48" spans="1:35" ht="15.75" customHeight="1" x14ac:dyDescent="0.25">
      <c r="A48" s="3" t="s">
        <v>41</v>
      </c>
      <c r="B48" s="1" t="s">
        <v>42</v>
      </c>
      <c r="C48" s="1" t="s">
        <v>43</v>
      </c>
      <c r="D48" s="1" t="s">
        <v>44</v>
      </c>
      <c r="E48" s="3" t="s">
        <v>5</v>
      </c>
      <c r="F48" t="s">
        <v>5</v>
      </c>
      <c r="G48" t="str">
        <f>IF(F48=Requirements!E48,"true","")</f>
        <v>true</v>
      </c>
      <c r="H48" s="3" t="s">
        <v>45</v>
      </c>
      <c r="I48" s="3" t="s">
        <v>46</v>
      </c>
      <c r="J48" s="3"/>
      <c r="K48" t="s">
        <v>32</v>
      </c>
      <c r="L48" t="s">
        <v>385</v>
      </c>
      <c r="M48" t="s">
        <v>378</v>
      </c>
      <c r="N48" t="s">
        <v>379</v>
      </c>
      <c r="O48" t="s">
        <v>392</v>
      </c>
      <c r="P48" t="s">
        <v>386</v>
      </c>
      <c r="Q48" t="s">
        <v>380</v>
      </c>
      <c r="R48" t="s">
        <v>381</v>
      </c>
      <c r="S48" t="s">
        <v>401</v>
      </c>
    </row>
    <row r="49" spans="1:35" ht="15.75" customHeight="1" x14ac:dyDescent="0.25">
      <c r="A49" s="3" t="s">
        <v>41</v>
      </c>
      <c r="B49" s="1" t="s">
        <v>228</v>
      </c>
      <c r="C49" s="1" t="s">
        <v>229</v>
      </c>
      <c r="D49" s="1" t="s">
        <v>230</v>
      </c>
      <c r="E49" s="3" t="s">
        <v>5</v>
      </c>
      <c r="F49" t="s">
        <v>5</v>
      </c>
      <c r="G49" t="str">
        <f>IF(F49=Requirements!E49,"true","")</f>
        <v>true</v>
      </c>
      <c r="H49" s="3" t="s">
        <v>231</v>
      </c>
      <c r="I49" s="3"/>
      <c r="J49" s="3"/>
      <c r="K49" t="s">
        <v>410</v>
      </c>
    </row>
    <row r="50" spans="1:35" ht="15.75" customHeight="1" x14ac:dyDescent="0.25">
      <c r="A50" s="3" t="s">
        <v>169</v>
      </c>
      <c r="B50" s="1" t="s">
        <v>232</v>
      </c>
      <c r="C50" s="1" t="s">
        <v>233</v>
      </c>
      <c r="D50" s="1" t="s">
        <v>234</v>
      </c>
      <c r="E50" s="3" t="s">
        <v>173</v>
      </c>
      <c r="F50" t="s">
        <v>369</v>
      </c>
      <c r="G50" t="str">
        <f>IF(F50=Requirements!E50,"true","")</f>
        <v/>
      </c>
      <c r="H50" s="3" t="s">
        <v>231</v>
      </c>
      <c r="I50" s="3"/>
      <c r="J50" s="3"/>
      <c r="K50" t="s">
        <v>32</v>
      </c>
      <c r="L50" t="s">
        <v>383</v>
      </c>
      <c r="M50" t="s">
        <v>384</v>
      </c>
      <c r="N50" t="s">
        <v>385</v>
      </c>
      <c r="O50" t="s">
        <v>378</v>
      </c>
      <c r="P50" t="s">
        <v>388</v>
      </c>
      <c r="Q50" t="s">
        <v>392</v>
      </c>
      <c r="R50" t="s">
        <v>393</v>
      </c>
      <c r="S50" t="s">
        <v>394</v>
      </c>
      <c r="T50" t="s">
        <v>396</v>
      </c>
      <c r="U50" t="s">
        <v>381</v>
      </c>
    </row>
    <row r="51" spans="1:35" ht="15.75" customHeight="1" x14ac:dyDescent="0.25">
      <c r="A51" s="3" t="s">
        <v>169</v>
      </c>
      <c r="B51" s="1" t="s">
        <v>170</v>
      </c>
      <c r="C51" s="1" t="s">
        <v>171</v>
      </c>
      <c r="D51" s="1" t="s">
        <v>172</v>
      </c>
      <c r="E51" s="3" t="s">
        <v>173</v>
      </c>
      <c r="F51" t="s">
        <v>369</v>
      </c>
      <c r="G51" t="str">
        <f>IF(F51=Requirements!E51,"true","")</f>
        <v/>
      </c>
      <c r="H51" s="3" t="s">
        <v>65</v>
      </c>
      <c r="I51" s="3"/>
      <c r="J51" s="3"/>
      <c r="K51" t="s">
        <v>32</v>
      </c>
      <c r="L51" t="s">
        <v>383</v>
      </c>
      <c r="M51" t="s">
        <v>384</v>
      </c>
      <c r="N51" t="s">
        <v>385</v>
      </c>
      <c r="O51" t="s">
        <v>378</v>
      </c>
      <c r="P51" t="s">
        <v>388</v>
      </c>
      <c r="Q51" t="s">
        <v>392</v>
      </c>
      <c r="R51" t="s">
        <v>393</v>
      </c>
      <c r="S51" t="s">
        <v>394</v>
      </c>
      <c r="T51" t="s">
        <v>396</v>
      </c>
      <c r="U51" t="s">
        <v>381</v>
      </c>
    </row>
    <row r="52" spans="1:35" ht="15.75" customHeight="1" x14ac:dyDescent="0.25">
      <c r="A52" s="3" t="s">
        <v>37</v>
      </c>
      <c r="B52" s="1" t="s">
        <v>38</v>
      </c>
      <c r="C52" s="1" t="s">
        <v>38</v>
      </c>
      <c r="D52" s="1" t="s">
        <v>39</v>
      </c>
      <c r="E52" s="3" t="s">
        <v>13</v>
      </c>
      <c r="F52" t="s">
        <v>368</v>
      </c>
      <c r="G52" t="str">
        <f>IF(F52=Requirements!E52,"true","")</f>
        <v/>
      </c>
      <c r="H52" s="3" t="s">
        <v>40</v>
      </c>
      <c r="I52" s="3" t="s">
        <v>32</v>
      </c>
      <c r="J52" s="3"/>
      <c r="K52" t="s">
        <v>31</v>
      </c>
      <c r="L52" t="s">
        <v>387</v>
      </c>
      <c r="M52" t="s">
        <v>383</v>
      </c>
      <c r="N52" t="s">
        <v>384</v>
      </c>
      <c r="O52" t="s">
        <v>385</v>
      </c>
      <c r="P52" t="s">
        <v>378</v>
      </c>
      <c r="Q52" t="s">
        <v>388</v>
      </c>
      <c r="R52" t="s">
        <v>389</v>
      </c>
      <c r="S52" t="s">
        <v>379</v>
      </c>
      <c r="T52" t="s">
        <v>390</v>
      </c>
      <c r="U52" t="s">
        <v>391</v>
      </c>
      <c r="V52" t="s">
        <v>392</v>
      </c>
      <c r="W52" t="s">
        <v>393</v>
      </c>
      <c r="X52" t="s">
        <v>394</v>
      </c>
      <c r="Y52" t="s">
        <v>395</v>
      </c>
      <c r="Z52" t="s">
        <v>396</v>
      </c>
      <c r="AA52" t="s">
        <v>386</v>
      </c>
      <c r="AB52" t="s">
        <v>380</v>
      </c>
      <c r="AC52" t="s">
        <v>397</v>
      </c>
      <c r="AD52" t="s">
        <v>398</v>
      </c>
      <c r="AE52" t="s">
        <v>381</v>
      </c>
      <c r="AF52" t="s">
        <v>399</v>
      </c>
      <c r="AG52" t="s">
        <v>400</v>
      </c>
      <c r="AH52" t="s">
        <v>401</v>
      </c>
      <c r="AI52" t="s">
        <v>402</v>
      </c>
    </row>
    <row r="53" spans="1:35" ht="15.75" customHeight="1" x14ac:dyDescent="0.25">
      <c r="A53" s="3" t="s">
        <v>47</v>
      </c>
      <c r="B53" s="1" t="s">
        <v>66</v>
      </c>
      <c r="C53" s="1" t="s">
        <v>66</v>
      </c>
      <c r="D53" s="3" t="s">
        <v>67</v>
      </c>
      <c r="E53" s="3" t="s">
        <v>11</v>
      </c>
      <c r="F53" t="s">
        <v>8</v>
      </c>
      <c r="G53" t="str">
        <f>IF(F53=Requirements!E53,"true","")</f>
        <v/>
      </c>
      <c r="H53" s="3" t="s">
        <v>27</v>
      </c>
      <c r="I53" s="3" t="s">
        <v>65</v>
      </c>
      <c r="J53" s="3"/>
      <c r="K53" t="s">
        <v>32</v>
      </c>
      <c r="L53" t="s">
        <v>383</v>
      </c>
      <c r="M53" t="s">
        <v>384</v>
      </c>
      <c r="N53" t="s">
        <v>378</v>
      </c>
      <c r="O53" t="s">
        <v>388</v>
      </c>
      <c r="P53" t="s">
        <v>379</v>
      </c>
      <c r="Q53" t="s">
        <v>390</v>
      </c>
      <c r="R53" t="s">
        <v>391</v>
      </c>
      <c r="S53" t="s">
        <v>392</v>
      </c>
      <c r="T53" t="s">
        <v>394</v>
      </c>
      <c r="U53" t="s">
        <v>396</v>
      </c>
      <c r="V53" t="s">
        <v>380</v>
      </c>
      <c r="W53" t="s">
        <v>401</v>
      </c>
    </row>
    <row r="54" spans="1:35" ht="15.75" customHeight="1" x14ac:dyDescent="0.25">
      <c r="A54" s="3" t="s">
        <v>47</v>
      </c>
      <c r="B54" s="1" t="s">
        <v>63</v>
      </c>
      <c r="C54" s="1" t="s">
        <v>63</v>
      </c>
      <c r="D54" s="3" t="s">
        <v>64</v>
      </c>
      <c r="E54" s="3" t="s">
        <v>11</v>
      </c>
      <c r="F54" t="s">
        <v>8</v>
      </c>
      <c r="G54" t="str">
        <f>IF(F54=Requirements!E54,"true","")</f>
        <v/>
      </c>
      <c r="H54" s="3" t="s">
        <v>27</v>
      </c>
      <c r="I54" s="3" t="s">
        <v>65</v>
      </c>
      <c r="J54" s="3"/>
      <c r="K54" t="s">
        <v>32</v>
      </c>
      <c r="L54" t="s">
        <v>385</v>
      </c>
      <c r="M54" t="s">
        <v>388</v>
      </c>
      <c r="N54" t="s">
        <v>386</v>
      </c>
    </row>
    <row r="55" spans="1:35" ht="15.75" customHeight="1" x14ac:dyDescent="0.25">
      <c r="A55" s="3" t="s">
        <v>88</v>
      </c>
      <c r="B55" s="1" t="s">
        <v>211</v>
      </c>
      <c r="C55" s="1" t="s">
        <v>212</v>
      </c>
      <c r="D55" s="1" t="s">
        <v>213</v>
      </c>
      <c r="E55" s="3" t="s">
        <v>4</v>
      </c>
      <c r="F55" t="s">
        <v>8</v>
      </c>
      <c r="G55" t="str">
        <f>IF(F55=Requirements!E55,"true","")</f>
        <v/>
      </c>
      <c r="H55" s="3" t="s">
        <v>210</v>
      </c>
      <c r="I55" s="3"/>
      <c r="J55" s="3"/>
      <c r="K55" t="s">
        <v>405</v>
      </c>
    </row>
    <row r="56" spans="1:35" ht="15.75" customHeight="1" x14ac:dyDescent="0.25">
      <c r="A56" s="3" t="s">
        <v>88</v>
      </c>
      <c r="B56" s="1" t="s">
        <v>207</v>
      </c>
      <c r="C56" s="1" t="s">
        <v>208</v>
      </c>
      <c r="D56" s="1" t="s">
        <v>209</v>
      </c>
      <c r="E56" s="3" t="s">
        <v>4</v>
      </c>
      <c r="F56" t="s">
        <v>6</v>
      </c>
      <c r="G56" t="str">
        <f>IF(F56=Requirements!E56,"true","")</f>
        <v/>
      </c>
      <c r="H56" s="3" t="s">
        <v>210</v>
      </c>
      <c r="I56" s="3"/>
      <c r="J56" s="3"/>
      <c r="K56" t="s">
        <v>32</v>
      </c>
      <c r="L56" t="s">
        <v>378</v>
      </c>
      <c r="M56" t="s">
        <v>389</v>
      </c>
      <c r="N56" t="s">
        <v>390</v>
      </c>
      <c r="O56" t="s">
        <v>391</v>
      </c>
      <c r="P56" t="s">
        <v>380</v>
      </c>
      <c r="Q56" t="s">
        <v>397</v>
      </c>
      <c r="R56" t="s">
        <v>401</v>
      </c>
    </row>
    <row r="57" spans="1:35" ht="15.75" customHeight="1" x14ac:dyDescent="0.25">
      <c r="A57" s="3" t="s">
        <v>33</v>
      </c>
      <c r="B57" s="3" t="s">
        <v>253</v>
      </c>
      <c r="C57" s="3" t="s">
        <v>254</v>
      </c>
      <c r="D57" s="1" t="s">
        <v>255</v>
      </c>
      <c r="E57" s="3" t="s">
        <v>368</v>
      </c>
      <c r="F57" t="s">
        <v>368</v>
      </c>
      <c r="G57" t="str">
        <f>IF(F57=Requirements!E57,"true","")</f>
        <v>true</v>
      </c>
      <c r="H57" s="3" t="s">
        <v>256</v>
      </c>
      <c r="I57" s="3"/>
      <c r="J57" s="3"/>
      <c r="K57" t="s">
        <v>32</v>
      </c>
      <c r="L57" t="s">
        <v>383</v>
      </c>
      <c r="M57" t="s">
        <v>384</v>
      </c>
      <c r="N57" t="s">
        <v>385</v>
      </c>
      <c r="O57" t="s">
        <v>380</v>
      </c>
      <c r="P57" t="s">
        <v>381</v>
      </c>
    </row>
    <row r="58" spans="1:35" ht="15.75" customHeight="1" x14ac:dyDescent="0.25">
      <c r="A58" s="3" t="s">
        <v>189</v>
      </c>
      <c r="B58" s="3" t="s">
        <v>194</v>
      </c>
      <c r="C58" s="3" t="s">
        <v>194</v>
      </c>
      <c r="D58" s="3" t="s">
        <v>195</v>
      </c>
      <c r="E58" s="3" t="s">
        <v>368</v>
      </c>
      <c r="F58" t="s">
        <v>368</v>
      </c>
      <c r="G58" t="str">
        <f>IF(F58=Requirements!E58,"true","")</f>
        <v>true</v>
      </c>
      <c r="H58" s="3" t="s">
        <v>185</v>
      </c>
      <c r="I58" s="3"/>
      <c r="J58" s="3"/>
      <c r="K58" t="s">
        <v>26</v>
      </c>
      <c r="L58" t="s">
        <v>378</v>
      </c>
      <c r="M58" t="s">
        <v>386</v>
      </c>
      <c r="N58" t="s">
        <v>380</v>
      </c>
      <c r="O58" t="s">
        <v>381</v>
      </c>
    </row>
    <row r="59" spans="1:35" ht="15.75" customHeight="1" x14ac:dyDescent="0.25">
      <c r="A59" s="3" t="s">
        <v>189</v>
      </c>
      <c r="B59" s="3" t="s">
        <v>196</v>
      </c>
      <c r="C59" s="3" t="s">
        <v>196</v>
      </c>
      <c r="D59" s="3" t="s">
        <v>197</v>
      </c>
      <c r="E59" s="3" t="s">
        <v>368</v>
      </c>
      <c r="F59" t="s">
        <v>368</v>
      </c>
      <c r="G59" t="str">
        <f>IF(F59=Requirements!E59,"true","")</f>
        <v>true</v>
      </c>
      <c r="H59" s="3" t="s">
        <v>185</v>
      </c>
      <c r="I59" s="3"/>
      <c r="J59" s="3"/>
      <c r="K59" t="s">
        <v>32</v>
      </c>
      <c r="L59" t="s">
        <v>383</v>
      </c>
      <c r="M59" t="s">
        <v>384</v>
      </c>
      <c r="N59" t="s">
        <v>385</v>
      </c>
      <c r="O59" t="s">
        <v>380</v>
      </c>
      <c r="P59" t="s">
        <v>381</v>
      </c>
    </row>
    <row r="60" spans="1:35" ht="15.75" customHeight="1" x14ac:dyDescent="0.25">
      <c r="A60" s="3" t="s">
        <v>33</v>
      </c>
      <c r="B60" s="3" t="s">
        <v>142</v>
      </c>
      <c r="C60" s="3" t="s">
        <v>143</v>
      </c>
      <c r="D60" s="1" t="s">
        <v>144</v>
      </c>
      <c r="E60" s="3" t="s">
        <v>368</v>
      </c>
      <c r="F60" t="s">
        <v>368</v>
      </c>
      <c r="G60" t="str">
        <f>IF(F60=Requirements!E60,"true","")</f>
        <v>true</v>
      </c>
      <c r="H60" s="3" t="s">
        <v>26</v>
      </c>
      <c r="I60" s="3"/>
      <c r="J60" s="3"/>
      <c r="K60" t="s">
        <v>59</v>
      </c>
    </row>
    <row r="61" spans="1:35" ht="15.75" customHeight="1" x14ac:dyDescent="0.25">
      <c r="A61" s="3" t="s">
        <v>33</v>
      </c>
      <c r="B61" s="3" t="s">
        <v>34</v>
      </c>
      <c r="C61" s="3" t="s">
        <v>35</v>
      </c>
      <c r="D61" s="1" t="s">
        <v>36</v>
      </c>
      <c r="E61" s="3" t="s">
        <v>368</v>
      </c>
      <c r="F61" t="s">
        <v>368</v>
      </c>
      <c r="G61" t="str">
        <f>IF(F61=Requirements!E61,"true","")</f>
        <v>true</v>
      </c>
      <c r="H61" s="3" t="s">
        <v>26</v>
      </c>
      <c r="I61" s="3" t="s">
        <v>32</v>
      </c>
      <c r="J61" s="3"/>
      <c r="K61" t="s">
        <v>32</v>
      </c>
      <c r="L61" t="s">
        <v>383</v>
      </c>
      <c r="M61" t="s">
        <v>384</v>
      </c>
      <c r="N61" t="s">
        <v>385</v>
      </c>
      <c r="O61" t="s">
        <v>380</v>
      </c>
      <c r="P61" t="s">
        <v>381</v>
      </c>
    </row>
    <row r="62" spans="1:35" ht="15.75" customHeight="1" x14ac:dyDescent="0.25">
      <c r="A62" s="3" t="s">
        <v>33</v>
      </c>
      <c r="B62" s="3" t="s">
        <v>293</v>
      </c>
      <c r="C62" s="3" t="s">
        <v>294</v>
      </c>
      <c r="D62" s="1" t="s">
        <v>295</v>
      </c>
      <c r="E62" s="3" t="s">
        <v>368</v>
      </c>
      <c r="F62" t="s">
        <v>368</v>
      </c>
      <c r="G62" t="str">
        <f>IF(F62=Requirements!E62,"true","")</f>
        <v>true</v>
      </c>
      <c r="H62" s="3" t="s">
        <v>296</v>
      </c>
      <c r="I62" s="3"/>
      <c r="J62" s="3"/>
      <c r="K62" t="s">
        <v>32</v>
      </c>
      <c r="L62" t="s">
        <v>383</v>
      </c>
      <c r="M62" t="s">
        <v>384</v>
      </c>
      <c r="N62" t="s">
        <v>385</v>
      </c>
      <c r="O62" t="s">
        <v>379</v>
      </c>
      <c r="P62" t="s">
        <v>390</v>
      </c>
      <c r="Q62" t="s">
        <v>391</v>
      </c>
      <c r="R62" t="s">
        <v>393</v>
      </c>
      <c r="S62" t="s">
        <v>394</v>
      </c>
      <c r="T62" t="s">
        <v>396</v>
      </c>
      <c r="U62" t="s">
        <v>386</v>
      </c>
      <c r="V62" t="s">
        <v>380</v>
      </c>
      <c r="W62" t="s">
        <v>398</v>
      </c>
      <c r="X62" t="s">
        <v>381</v>
      </c>
      <c r="Y62" t="s">
        <v>399</v>
      </c>
      <c r="Z62" t="s">
        <v>400</v>
      </c>
      <c r="AA62" t="s">
        <v>402</v>
      </c>
    </row>
    <row r="63" spans="1:35" ht="15.75" customHeight="1" x14ac:dyDescent="0.25">
      <c r="A63" s="3" t="s">
        <v>33</v>
      </c>
      <c r="B63" s="3" t="s">
        <v>186</v>
      </c>
      <c r="C63" s="3" t="s">
        <v>187</v>
      </c>
      <c r="D63" s="1" t="s">
        <v>188</v>
      </c>
      <c r="E63" s="3" t="s">
        <v>368</v>
      </c>
      <c r="F63" t="s">
        <v>368</v>
      </c>
      <c r="G63" t="str">
        <f>IF(F63=Requirements!E63,"true","")</f>
        <v>true</v>
      </c>
      <c r="H63" s="3" t="s">
        <v>185</v>
      </c>
      <c r="I63" s="3"/>
      <c r="J63" s="3"/>
      <c r="K63" t="s">
        <v>32</v>
      </c>
      <c r="L63" t="s">
        <v>383</v>
      </c>
      <c r="M63" t="s">
        <v>385</v>
      </c>
      <c r="N63" t="s">
        <v>379</v>
      </c>
      <c r="O63" t="s">
        <v>393</v>
      </c>
      <c r="P63" t="s">
        <v>386</v>
      </c>
      <c r="Q63" t="s">
        <v>380</v>
      </c>
      <c r="R63" t="s">
        <v>381</v>
      </c>
      <c r="S63" t="s">
        <v>400</v>
      </c>
    </row>
    <row r="64" spans="1:35" ht="15.75" customHeight="1" x14ac:dyDescent="0.25">
      <c r="A64" s="3" t="s">
        <v>33</v>
      </c>
      <c r="B64" s="3" t="s">
        <v>158</v>
      </c>
      <c r="C64" s="3" t="s">
        <v>159</v>
      </c>
      <c r="D64" s="1" t="s">
        <v>160</v>
      </c>
      <c r="E64" s="3" t="s">
        <v>368</v>
      </c>
      <c r="F64" t="s">
        <v>368</v>
      </c>
      <c r="G64" t="str">
        <f>IF(F64=Requirements!E64,"true","")</f>
        <v>true</v>
      </c>
      <c r="H64" s="3" t="s">
        <v>27</v>
      </c>
      <c r="I64" s="3"/>
      <c r="J64" s="3"/>
      <c r="K64" t="s">
        <v>26</v>
      </c>
    </row>
    <row r="65" spans="1:35" ht="15.75" customHeight="1" x14ac:dyDescent="0.25">
      <c r="A65" s="3" t="s">
        <v>189</v>
      </c>
      <c r="B65" s="3" t="s">
        <v>297</v>
      </c>
      <c r="C65" s="3" t="s">
        <v>297</v>
      </c>
      <c r="D65" s="3" t="s">
        <v>298</v>
      </c>
      <c r="E65" s="3" t="s">
        <v>368</v>
      </c>
      <c r="F65" t="s">
        <v>368</v>
      </c>
      <c r="G65" t="str">
        <f>IF(F65=Requirements!E65,"true","")</f>
        <v>true</v>
      </c>
      <c r="H65" s="3" t="s">
        <v>296</v>
      </c>
      <c r="I65" s="3"/>
      <c r="J65" s="3"/>
      <c r="K65" t="s">
        <v>32</v>
      </c>
      <c r="L65" t="s">
        <v>383</v>
      </c>
      <c r="M65" t="s">
        <v>384</v>
      </c>
      <c r="N65" t="s">
        <v>385</v>
      </c>
      <c r="O65" t="s">
        <v>379</v>
      </c>
      <c r="P65" t="s">
        <v>386</v>
      </c>
      <c r="Q65" t="s">
        <v>381</v>
      </c>
    </row>
    <row r="66" spans="1:35" ht="15.75" customHeight="1" x14ac:dyDescent="0.25">
      <c r="A66" s="3" t="s">
        <v>33</v>
      </c>
      <c r="B66" s="3" t="s">
        <v>182</v>
      </c>
      <c r="C66" s="3" t="s">
        <v>183</v>
      </c>
      <c r="D66" s="1" t="s">
        <v>184</v>
      </c>
      <c r="E66" s="3" t="s">
        <v>368</v>
      </c>
      <c r="F66" t="s">
        <v>368</v>
      </c>
      <c r="G66" t="str">
        <f>IF(F66=Requirements!E66,"true","")</f>
        <v>true</v>
      </c>
      <c r="H66" s="3" t="s">
        <v>185</v>
      </c>
      <c r="I66" s="3"/>
      <c r="J66" s="3"/>
      <c r="K66" t="s">
        <v>32</v>
      </c>
      <c r="L66" t="s">
        <v>379</v>
      </c>
      <c r="M66" t="s">
        <v>394</v>
      </c>
      <c r="N66" t="s">
        <v>381</v>
      </c>
    </row>
    <row r="67" spans="1:35" ht="15.75" customHeight="1" x14ac:dyDescent="0.25">
      <c r="A67" s="3" t="s">
        <v>33</v>
      </c>
      <c r="B67" s="3" t="s">
        <v>221</v>
      </c>
      <c r="C67" s="3" t="s">
        <v>222</v>
      </c>
      <c r="D67" s="1" t="s">
        <v>223</v>
      </c>
      <c r="E67" s="3" t="s">
        <v>368</v>
      </c>
      <c r="F67" t="s">
        <v>368</v>
      </c>
      <c r="G67" t="str">
        <f>IF(F67=Requirements!E67,"true","")</f>
        <v>true</v>
      </c>
      <c r="H67" s="3" t="s">
        <v>217</v>
      </c>
      <c r="I67" s="3"/>
      <c r="J67" s="3"/>
      <c r="K67" t="s">
        <v>32</v>
      </c>
      <c r="L67" t="s">
        <v>383</v>
      </c>
      <c r="M67" t="s">
        <v>384</v>
      </c>
      <c r="N67" t="s">
        <v>385</v>
      </c>
      <c r="O67" t="s">
        <v>393</v>
      </c>
      <c r="P67" t="s">
        <v>394</v>
      </c>
      <c r="Q67" t="s">
        <v>396</v>
      </c>
      <c r="R67" t="s">
        <v>386</v>
      </c>
      <c r="S67" t="s">
        <v>380</v>
      </c>
      <c r="T67" t="s">
        <v>381</v>
      </c>
      <c r="U67" t="s">
        <v>400</v>
      </c>
    </row>
    <row r="68" spans="1:35" ht="15.75" customHeight="1" x14ac:dyDescent="0.25">
      <c r="A68" s="3" t="s">
        <v>189</v>
      </c>
      <c r="B68" s="3" t="s">
        <v>192</v>
      </c>
      <c r="C68" s="3" t="s">
        <v>192</v>
      </c>
      <c r="D68" s="3" t="s">
        <v>193</v>
      </c>
      <c r="E68" s="3" t="s">
        <v>368</v>
      </c>
      <c r="F68" t="s">
        <v>368</v>
      </c>
      <c r="G68" t="str">
        <f>IF(F68=Requirements!E68,"true","")</f>
        <v>true</v>
      </c>
      <c r="H68" s="3" t="s">
        <v>185</v>
      </c>
      <c r="I68" s="3"/>
      <c r="J68" s="3"/>
      <c r="K68" t="s">
        <v>32</v>
      </c>
      <c r="L68" t="s">
        <v>385</v>
      </c>
      <c r="M68" t="s">
        <v>386</v>
      </c>
      <c r="N68" t="s">
        <v>381</v>
      </c>
      <c r="O68" t="s">
        <v>400</v>
      </c>
    </row>
    <row r="69" spans="1:35" ht="15.75" customHeight="1" x14ac:dyDescent="0.25">
      <c r="A69" s="3" t="s">
        <v>189</v>
      </c>
      <c r="B69" s="3" t="s">
        <v>190</v>
      </c>
      <c r="C69" s="3" t="s">
        <v>190</v>
      </c>
      <c r="D69" s="3" t="s">
        <v>191</v>
      </c>
      <c r="E69" s="3" t="s">
        <v>368</v>
      </c>
      <c r="F69" t="s">
        <v>368</v>
      </c>
      <c r="G69" t="str">
        <f>IF(F69=Requirements!E69,"true","")</f>
        <v>true</v>
      </c>
      <c r="H69" s="3" t="s">
        <v>185</v>
      </c>
      <c r="I69" s="3"/>
      <c r="J69" s="3"/>
      <c r="K69" t="s">
        <v>32</v>
      </c>
      <c r="L69" t="s">
        <v>383</v>
      </c>
      <c r="M69" t="s">
        <v>384</v>
      </c>
      <c r="N69" t="s">
        <v>385</v>
      </c>
      <c r="O69" t="s">
        <v>393</v>
      </c>
      <c r="P69" t="s">
        <v>394</v>
      </c>
      <c r="Q69" t="s">
        <v>396</v>
      </c>
      <c r="R69" t="s">
        <v>386</v>
      </c>
      <c r="S69" t="s">
        <v>380</v>
      </c>
      <c r="T69" t="s">
        <v>381</v>
      </c>
      <c r="U69" t="s">
        <v>400</v>
      </c>
    </row>
    <row r="70" spans="1:35" ht="15.75" customHeight="1" x14ac:dyDescent="0.25">
      <c r="A70" s="3" t="s">
        <v>47</v>
      </c>
      <c r="B70" s="1" t="s">
        <v>180</v>
      </c>
      <c r="C70" s="1" t="s">
        <v>180</v>
      </c>
      <c r="D70" s="3" t="s">
        <v>181</v>
      </c>
      <c r="E70" s="3" t="s">
        <v>11</v>
      </c>
      <c r="F70" t="s">
        <v>11</v>
      </c>
      <c r="G70" t="str">
        <f>IF(F70=Requirements!E70,"true","")</f>
        <v>true</v>
      </c>
      <c r="H70" s="3" t="s">
        <v>40</v>
      </c>
      <c r="I70" s="3"/>
      <c r="J70" s="3"/>
      <c r="K70" t="s">
        <v>32</v>
      </c>
      <c r="L70" t="s">
        <v>383</v>
      </c>
      <c r="M70" t="s">
        <v>384</v>
      </c>
      <c r="N70" t="s">
        <v>378</v>
      </c>
      <c r="O70" t="s">
        <v>388</v>
      </c>
      <c r="P70" t="s">
        <v>379</v>
      </c>
      <c r="Q70" t="s">
        <v>390</v>
      </c>
      <c r="R70" t="s">
        <v>391</v>
      </c>
      <c r="S70" t="s">
        <v>392</v>
      </c>
      <c r="T70" t="s">
        <v>394</v>
      </c>
      <c r="U70" t="s">
        <v>396</v>
      </c>
      <c r="V70" t="s">
        <v>380</v>
      </c>
      <c r="W70" t="s">
        <v>401</v>
      </c>
    </row>
    <row r="71" spans="1:35" ht="15.75" customHeight="1" x14ac:dyDescent="0.25">
      <c r="A71" s="3" t="s">
        <v>47</v>
      </c>
      <c r="B71" s="1" t="s">
        <v>235</v>
      </c>
      <c r="C71" s="1" t="s">
        <v>235</v>
      </c>
      <c r="D71" s="3" t="s">
        <v>236</v>
      </c>
      <c r="E71" s="3" t="s">
        <v>11</v>
      </c>
      <c r="F71" t="s">
        <v>11</v>
      </c>
      <c r="G71" t="str">
        <f>IF(F71=Requirements!E71,"true","")</f>
        <v>true</v>
      </c>
      <c r="H71" s="3" t="s">
        <v>231</v>
      </c>
      <c r="I71" s="3"/>
      <c r="J71" s="3"/>
      <c r="K71" t="s">
        <v>40</v>
      </c>
    </row>
    <row r="72" spans="1:35" ht="15.75" customHeight="1" x14ac:dyDescent="0.25">
      <c r="A72" s="3" t="s">
        <v>47</v>
      </c>
      <c r="B72" s="1" t="s">
        <v>48</v>
      </c>
      <c r="C72" s="1" t="s">
        <v>48</v>
      </c>
      <c r="D72" s="3" t="s">
        <v>49</v>
      </c>
      <c r="E72" s="3" t="s">
        <v>11</v>
      </c>
      <c r="F72" t="s">
        <v>11</v>
      </c>
      <c r="G72" t="str">
        <f>IF(F72=Requirements!E72,"true","")</f>
        <v>true</v>
      </c>
      <c r="H72" s="3" t="s">
        <v>45</v>
      </c>
      <c r="I72" s="3" t="s">
        <v>46</v>
      </c>
      <c r="J72" s="3"/>
      <c r="K72" t="s">
        <v>31</v>
      </c>
      <c r="L72" t="s">
        <v>387</v>
      </c>
      <c r="M72" t="s">
        <v>383</v>
      </c>
      <c r="N72" t="s">
        <v>384</v>
      </c>
      <c r="O72" t="s">
        <v>385</v>
      </c>
      <c r="P72" t="s">
        <v>378</v>
      </c>
      <c r="Q72" t="s">
        <v>388</v>
      </c>
      <c r="R72" t="s">
        <v>389</v>
      </c>
      <c r="S72" t="s">
        <v>379</v>
      </c>
      <c r="T72" t="s">
        <v>390</v>
      </c>
      <c r="U72" t="s">
        <v>391</v>
      </c>
      <c r="V72" t="s">
        <v>392</v>
      </c>
      <c r="W72" t="s">
        <v>393</v>
      </c>
      <c r="X72" t="s">
        <v>394</v>
      </c>
      <c r="Y72" t="s">
        <v>395</v>
      </c>
      <c r="Z72" t="s">
        <v>396</v>
      </c>
      <c r="AA72" t="s">
        <v>386</v>
      </c>
      <c r="AB72" t="s">
        <v>380</v>
      </c>
      <c r="AC72" t="s">
        <v>397</v>
      </c>
      <c r="AD72" t="s">
        <v>398</v>
      </c>
      <c r="AE72" t="s">
        <v>381</v>
      </c>
      <c r="AF72" t="s">
        <v>399</v>
      </c>
      <c r="AG72" t="s">
        <v>400</v>
      </c>
      <c r="AH72" t="s">
        <v>401</v>
      </c>
      <c r="AI72" t="s">
        <v>402</v>
      </c>
    </row>
    <row r="73" spans="1:35" ht="15.75" customHeight="1" x14ac:dyDescent="0.25">
      <c r="A73" s="3" t="s">
        <v>47</v>
      </c>
      <c r="B73" s="1" t="s">
        <v>176</v>
      </c>
      <c r="C73" s="1" t="s">
        <v>176</v>
      </c>
      <c r="D73" s="3" t="s">
        <v>177</v>
      </c>
      <c r="E73" s="3" t="s">
        <v>11</v>
      </c>
      <c r="F73" t="s">
        <v>11</v>
      </c>
      <c r="G73" t="str">
        <f>IF(F73=Requirements!E73,"true","")</f>
        <v>true</v>
      </c>
      <c r="H73" s="3" t="s">
        <v>65</v>
      </c>
      <c r="I73" s="3"/>
      <c r="J73" s="3"/>
      <c r="K73" t="s">
        <v>65</v>
      </c>
    </row>
    <row r="74" spans="1:35" ht="15.75" customHeight="1" x14ac:dyDescent="0.25">
      <c r="A74" s="3" t="s">
        <v>47</v>
      </c>
      <c r="B74" s="1" t="s">
        <v>161</v>
      </c>
      <c r="C74" s="1" t="s">
        <v>161</v>
      </c>
      <c r="D74" s="3" t="s">
        <v>162</v>
      </c>
      <c r="E74" s="3" t="s">
        <v>11</v>
      </c>
      <c r="F74" t="s">
        <v>11</v>
      </c>
      <c r="G74" t="str">
        <f>IF(F74=Requirements!E74,"true","")</f>
        <v>true</v>
      </c>
      <c r="H74" s="3" t="s">
        <v>27</v>
      </c>
      <c r="I74" s="3"/>
      <c r="J74" s="3"/>
      <c r="K74" t="s">
        <v>405</v>
      </c>
    </row>
    <row r="75" spans="1:35" ht="15.75" customHeight="1" x14ac:dyDescent="0.25">
      <c r="A75" s="3" t="s">
        <v>47</v>
      </c>
      <c r="B75" s="1" t="s">
        <v>174</v>
      </c>
      <c r="C75" s="1" t="s">
        <v>174</v>
      </c>
      <c r="D75" s="3" t="s">
        <v>175</v>
      </c>
      <c r="E75" s="3" t="s">
        <v>11</v>
      </c>
      <c r="F75" t="s">
        <v>11</v>
      </c>
      <c r="G75" t="str">
        <f>IF(F75=Requirements!E75,"true","")</f>
        <v>true</v>
      </c>
      <c r="H75" s="3" t="s">
        <v>65</v>
      </c>
      <c r="I75" s="3"/>
      <c r="J75" s="3"/>
      <c r="K75" t="s">
        <v>65</v>
      </c>
    </row>
    <row r="76" spans="1:35" ht="15.75" customHeight="1" x14ac:dyDescent="0.25">
      <c r="A76" s="3" t="s">
        <v>243</v>
      </c>
      <c r="B76" s="1" t="s">
        <v>354</v>
      </c>
      <c r="C76" s="3" t="s">
        <v>355</v>
      </c>
      <c r="D76" s="3" t="s">
        <v>356</v>
      </c>
      <c r="E76" s="3" t="s">
        <v>2</v>
      </c>
      <c r="F76" t="s">
        <v>2</v>
      </c>
      <c r="G76" t="str">
        <f>IF(F76=Requirements!E76,"true","")</f>
        <v>true</v>
      </c>
      <c r="H76" s="3" t="s">
        <v>100</v>
      </c>
      <c r="I76" s="3"/>
      <c r="J76" s="3"/>
      <c r="K76" t="s">
        <v>32</v>
      </c>
      <c r="L76" t="s">
        <v>385</v>
      </c>
      <c r="M76" t="s">
        <v>379</v>
      </c>
      <c r="N76" t="s">
        <v>386</v>
      </c>
      <c r="O76" t="s">
        <v>380</v>
      </c>
      <c r="P76" t="s">
        <v>381</v>
      </c>
    </row>
    <row r="77" spans="1:35" ht="15.75" customHeight="1" x14ac:dyDescent="0.25">
      <c r="A77" s="3" t="s">
        <v>243</v>
      </c>
      <c r="B77" s="1" t="s">
        <v>244</v>
      </c>
      <c r="C77" s="3" t="s">
        <v>245</v>
      </c>
      <c r="D77" s="3" t="s">
        <v>246</v>
      </c>
      <c r="E77" s="3" t="s">
        <v>2</v>
      </c>
      <c r="F77" t="s">
        <v>2</v>
      </c>
      <c r="G77" t="str">
        <f>IF(F77=Requirements!E77,"true","")</f>
        <v>true</v>
      </c>
      <c r="H77" s="3" t="s">
        <v>25</v>
      </c>
      <c r="I77" s="3"/>
      <c r="J77" s="3"/>
      <c r="K77" t="s">
        <v>26</v>
      </c>
    </row>
    <row r="78" spans="1:35" ht="15.75" customHeight="1" x14ac:dyDescent="0.25">
      <c r="A78" s="3" t="s">
        <v>243</v>
      </c>
      <c r="B78" s="1" t="s">
        <v>250</v>
      </c>
      <c r="C78" s="3" t="s">
        <v>251</v>
      </c>
      <c r="D78" s="3" t="s">
        <v>252</v>
      </c>
      <c r="E78" s="3" t="s">
        <v>2</v>
      </c>
      <c r="F78" t="s">
        <v>2</v>
      </c>
      <c r="G78" t="str">
        <f>IF(F78=Requirements!E78,"true","")</f>
        <v>true</v>
      </c>
      <c r="H78" s="3" t="s">
        <v>25</v>
      </c>
      <c r="I78" s="3"/>
      <c r="J78" s="3"/>
      <c r="K78" t="s">
        <v>26</v>
      </c>
      <c r="L78" t="s">
        <v>378</v>
      </c>
      <c r="M78" t="s">
        <v>386</v>
      </c>
      <c r="N78" t="s">
        <v>380</v>
      </c>
      <c r="O78" t="s">
        <v>381</v>
      </c>
    </row>
    <row r="79" spans="1:35" ht="15.75" customHeight="1" x14ac:dyDescent="0.25">
      <c r="A79" s="3" t="s">
        <v>243</v>
      </c>
      <c r="B79" s="1" t="s">
        <v>351</v>
      </c>
      <c r="C79" s="3" t="s">
        <v>352</v>
      </c>
      <c r="D79" s="3" t="s">
        <v>353</v>
      </c>
      <c r="E79" s="3" t="s">
        <v>2</v>
      </c>
      <c r="F79" t="s">
        <v>2</v>
      </c>
      <c r="G79" t="str">
        <f>IF(F79=Requirements!E79,"true","")</f>
        <v>true</v>
      </c>
      <c r="H79" s="3" t="s">
        <v>100</v>
      </c>
      <c r="I79" s="3"/>
      <c r="J79" s="3"/>
      <c r="K79" t="s">
        <v>31</v>
      </c>
      <c r="L79" t="s">
        <v>387</v>
      </c>
      <c r="M79" t="s">
        <v>383</v>
      </c>
      <c r="N79" t="s">
        <v>384</v>
      </c>
      <c r="O79" t="s">
        <v>385</v>
      </c>
      <c r="P79" t="s">
        <v>378</v>
      </c>
      <c r="Q79" t="s">
        <v>388</v>
      </c>
      <c r="R79" t="s">
        <v>389</v>
      </c>
      <c r="S79" t="s">
        <v>379</v>
      </c>
      <c r="T79" t="s">
        <v>390</v>
      </c>
      <c r="U79" t="s">
        <v>391</v>
      </c>
      <c r="V79" t="s">
        <v>392</v>
      </c>
      <c r="W79" t="s">
        <v>393</v>
      </c>
      <c r="X79" t="s">
        <v>394</v>
      </c>
      <c r="Y79" t="s">
        <v>395</v>
      </c>
      <c r="Z79" t="s">
        <v>396</v>
      </c>
      <c r="AA79" t="s">
        <v>386</v>
      </c>
      <c r="AB79" t="s">
        <v>397</v>
      </c>
      <c r="AC79" t="s">
        <v>381</v>
      </c>
      <c r="AD79" t="s">
        <v>399</v>
      </c>
      <c r="AE79" t="s">
        <v>400</v>
      </c>
      <c r="AF79" t="s">
        <v>402</v>
      </c>
    </row>
    <row r="80" spans="1:35" ht="15.75" customHeight="1" x14ac:dyDescent="0.25">
      <c r="A80" s="3" t="s">
        <v>243</v>
      </c>
      <c r="B80" s="1" t="s">
        <v>247</v>
      </c>
      <c r="C80" s="3" t="s">
        <v>248</v>
      </c>
      <c r="D80" s="3" t="s">
        <v>249</v>
      </c>
      <c r="E80" s="3" t="s">
        <v>2</v>
      </c>
      <c r="F80" t="s">
        <v>2</v>
      </c>
      <c r="G80" t="str">
        <f>IF(F80=Requirements!E80,"true","")</f>
        <v>true</v>
      </c>
      <c r="H80" s="3" t="s">
        <v>25</v>
      </c>
      <c r="I80" s="3"/>
      <c r="J80" s="3"/>
      <c r="K80" t="s">
        <v>55</v>
      </c>
    </row>
    <row r="81" spans="1:28" ht="15.75" customHeight="1" x14ac:dyDescent="0.25">
      <c r="A81" s="3" t="s">
        <v>74</v>
      </c>
      <c r="B81" s="1" t="s">
        <v>178</v>
      </c>
      <c r="C81" s="1" t="s">
        <v>178</v>
      </c>
      <c r="D81" s="3" t="s">
        <v>179</v>
      </c>
      <c r="E81" s="3" t="s">
        <v>10</v>
      </c>
      <c r="F81" t="s">
        <v>10</v>
      </c>
      <c r="G81" t="str">
        <f>IF(F81=Requirements!E81,"true","")</f>
        <v>true</v>
      </c>
      <c r="H81" s="3" t="s">
        <v>78</v>
      </c>
      <c r="I81" s="3"/>
      <c r="J81" s="3"/>
      <c r="K81" t="s">
        <v>32</v>
      </c>
      <c r="L81" t="s">
        <v>378</v>
      </c>
      <c r="M81" t="s">
        <v>389</v>
      </c>
      <c r="N81" t="s">
        <v>397</v>
      </c>
      <c r="O81" t="s">
        <v>401</v>
      </c>
      <c r="P81" t="s">
        <v>402</v>
      </c>
    </row>
    <row r="82" spans="1:28" ht="15.75" customHeight="1" x14ac:dyDescent="0.25">
      <c r="A82" s="3" t="s">
        <v>74</v>
      </c>
      <c r="B82" s="1" t="s">
        <v>330</v>
      </c>
      <c r="C82" s="1" t="s">
        <v>330</v>
      </c>
      <c r="D82" s="3" t="s">
        <v>331</v>
      </c>
      <c r="E82" s="3" t="s">
        <v>10</v>
      </c>
      <c r="F82" t="s">
        <v>10</v>
      </c>
      <c r="G82" t="str">
        <f>IF(F82=Requirements!E82,"true","")</f>
        <v>true</v>
      </c>
      <c r="H82" s="3" t="s">
        <v>94</v>
      </c>
      <c r="I82" s="3"/>
      <c r="J82" s="3"/>
      <c r="K82" t="s">
        <v>405</v>
      </c>
    </row>
    <row r="83" spans="1:28" ht="15.75" customHeight="1" x14ac:dyDescent="0.25">
      <c r="A83" s="3" t="s">
        <v>74</v>
      </c>
      <c r="B83" s="1" t="s">
        <v>75</v>
      </c>
      <c r="C83" s="1" t="s">
        <v>75</v>
      </c>
      <c r="D83" s="3" t="s">
        <v>76</v>
      </c>
      <c r="E83" s="3" t="s">
        <v>10</v>
      </c>
      <c r="F83" t="s">
        <v>10</v>
      </c>
      <c r="G83" t="str">
        <f>IF(F83=Requirements!E83,"true","")</f>
        <v>true</v>
      </c>
      <c r="H83" s="3" t="s">
        <v>77</v>
      </c>
      <c r="I83" s="3" t="s">
        <v>78</v>
      </c>
      <c r="J83" s="3"/>
      <c r="K83" t="s">
        <v>55</v>
      </c>
    </row>
    <row r="84" spans="1:28" ht="15.75" customHeight="1" x14ac:dyDescent="0.25">
      <c r="A84" s="3" t="s">
        <v>21</v>
      </c>
      <c r="B84" s="1" t="s">
        <v>361</v>
      </c>
      <c r="C84" s="3" t="s">
        <v>362</v>
      </c>
      <c r="D84" s="1" t="s">
        <v>363</v>
      </c>
      <c r="E84" s="3" t="s">
        <v>12</v>
      </c>
      <c r="F84" t="s">
        <v>12</v>
      </c>
      <c r="G84" t="str">
        <f>IF(F84=Requirements!E84,"true","")</f>
        <v>true</v>
      </c>
      <c r="H84" s="3" t="s">
        <v>360</v>
      </c>
      <c r="I84" s="3"/>
      <c r="J84" s="3"/>
      <c r="K84" t="s">
        <v>405</v>
      </c>
    </row>
    <row r="85" spans="1:28" ht="15.75" customHeight="1" x14ac:dyDescent="0.25">
      <c r="A85" s="3" t="s">
        <v>21</v>
      </c>
      <c r="B85" s="1" t="s">
        <v>364</v>
      </c>
      <c r="C85" s="3" t="s">
        <v>365</v>
      </c>
      <c r="D85" s="1" t="s">
        <v>366</v>
      </c>
      <c r="E85" s="3" t="s">
        <v>12</v>
      </c>
      <c r="F85" t="s">
        <v>12</v>
      </c>
      <c r="G85" t="str">
        <f>IF(F85=Requirements!E85,"true","")</f>
        <v>true</v>
      </c>
      <c r="H85" s="3" t="s">
        <v>360</v>
      </c>
      <c r="I85" s="3"/>
      <c r="J85" s="3"/>
      <c r="K85" t="s">
        <v>405</v>
      </c>
    </row>
    <row r="86" spans="1:28" ht="15.75" customHeight="1" x14ac:dyDescent="0.25">
      <c r="A86" s="3" t="s">
        <v>21</v>
      </c>
      <c r="B86" s="1" t="s">
        <v>357</v>
      </c>
      <c r="C86" s="3" t="s">
        <v>358</v>
      </c>
      <c r="D86" s="1" t="s">
        <v>359</v>
      </c>
      <c r="E86" s="3" t="s">
        <v>12</v>
      </c>
      <c r="F86" t="s">
        <v>12</v>
      </c>
      <c r="G86" t="str">
        <f>IF(F86=Requirements!E86,"true","")</f>
        <v>true</v>
      </c>
      <c r="H86" s="3" t="s">
        <v>360</v>
      </c>
      <c r="I86" s="3"/>
      <c r="J86" s="3"/>
      <c r="K86" t="s">
        <v>405</v>
      </c>
    </row>
    <row r="87" spans="1:28" ht="15.75" customHeight="1" x14ac:dyDescent="0.25">
      <c r="A87" s="3" t="s">
        <v>21</v>
      </c>
      <c r="B87" s="1" t="s">
        <v>345</v>
      </c>
      <c r="C87" s="3" t="s">
        <v>346</v>
      </c>
      <c r="D87" s="1" t="s">
        <v>347</v>
      </c>
      <c r="E87" s="3" t="s">
        <v>12</v>
      </c>
      <c r="F87" t="s">
        <v>12</v>
      </c>
      <c r="G87" t="str">
        <f>IF(F87=Requirements!E87,"true","")</f>
        <v>true</v>
      </c>
      <c r="H87" s="3" t="s">
        <v>100</v>
      </c>
      <c r="I87" s="3"/>
      <c r="J87" s="3"/>
      <c r="K87" t="s">
        <v>405</v>
      </c>
    </row>
    <row r="88" spans="1:28" ht="15.75" customHeight="1" x14ac:dyDescent="0.25">
      <c r="A88" s="3" t="s">
        <v>21</v>
      </c>
      <c r="B88" s="1" t="s">
        <v>151</v>
      </c>
      <c r="C88" s="3" t="s">
        <v>152</v>
      </c>
      <c r="D88" s="1" t="s">
        <v>153</v>
      </c>
      <c r="E88" s="3" t="s">
        <v>12</v>
      </c>
      <c r="F88" t="s">
        <v>12</v>
      </c>
      <c r="G88" t="str">
        <f>IF(F88=Requirements!E88,"true","")</f>
        <v>true</v>
      </c>
      <c r="H88" s="3" t="s">
        <v>26</v>
      </c>
      <c r="I88" s="3"/>
      <c r="J88" s="3"/>
      <c r="K88" t="s">
        <v>405</v>
      </c>
    </row>
    <row r="89" spans="1:28" ht="15.75" customHeight="1" x14ac:dyDescent="0.25">
      <c r="A89" s="3" t="s">
        <v>21</v>
      </c>
      <c r="B89" s="1" t="s">
        <v>342</v>
      </c>
      <c r="C89" s="3" t="s">
        <v>343</v>
      </c>
      <c r="D89" s="1" t="s">
        <v>344</v>
      </c>
      <c r="E89" s="3" t="s">
        <v>12</v>
      </c>
      <c r="F89" t="s">
        <v>12</v>
      </c>
      <c r="G89" t="str">
        <f>IF(F89=Requirements!E89,"true","")</f>
        <v>true</v>
      </c>
      <c r="H89" s="3" t="s">
        <v>100</v>
      </c>
      <c r="I89" s="3"/>
      <c r="J89" s="3"/>
      <c r="K89" t="s">
        <v>405</v>
      </c>
    </row>
    <row r="90" spans="1:28" ht="15.75" customHeight="1" x14ac:dyDescent="0.25">
      <c r="A90" s="3" t="s">
        <v>88</v>
      </c>
      <c r="B90" s="1" t="s">
        <v>106</v>
      </c>
      <c r="C90" s="1" t="s">
        <v>107</v>
      </c>
      <c r="D90" s="1" t="s">
        <v>108</v>
      </c>
      <c r="E90" s="3" t="s">
        <v>4</v>
      </c>
      <c r="F90" t="s">
        <v>369</v>
      </c>
      <c r="G90" t="str">
        <f>IF(F90=Requirements!E90,"true","")</f>
        <v/>
      </c>
      <c r="H90" s="3" t="s">
        <v>31</v>
      </c>
      <c r="I90" s="3"/>
      <c r="J90" s="3"/>
      <c r="K90" t="s">
        <v>32</v>
      </c>
      <c r="L90" t="s">
        <v>391</v>
      </c>
      <c r="M90" t="s">
        <v>386</v>
      </c>
      <c r="N90" t="s">
        <v>397</v>
      </c>
      <c r="O90" t="s">
        <v>399</v>
      </c>
      <c r="P90" t="s">
        <v>401</v>
      </c>
    </row>
    <row r="91" spans="1:28" ht="15.75" customHeight="1" x14ac:dyDescent="0.25">
      <c r="A91" s="3" t="s">
        <v>81</v>
      </c>
      <c r="B91" s="1" t="s">
        <v>260</v>
      </c>
      <c r="C91" s="1" t="s">
        <v>260</v>
      </c>
      <c r="D91" s="1" t="s">
        <v>261</v>
      </c>
      <c r="E91" s="3" t="s">
        <v>6</v>
      </c>
      <c r="F91" t="s">
        <v>8</v>
      </c>
      <c r="G91" t="str">
        <f>IF(F91=Requirements!E91,"true","")</f>
        <v/>
      </c>
      <c r="H91" s="3" t="s">
        <v>84</v>
      </c>
      <c r="I91" s="3"/>
      <c r="J91" s="3"/>
      <c r="K91" t="s">
        <v>32</v>
      </c>
    </row>
    <row r="92" spans="1:28" ht="15.75" customHeight="1" x14ac:dyDescent="0.25">
      <c r="A92" s="3" t="s">
        <v>81</v>
      </c>
      <c r="B92" s="1" t="s">
        <v>82</v>
      </c>
      <c r="C92" s="1" t="s">
        <v>82</v>
      </c>
      <c r="D92" s="1" t="s">
        <v>83</v>
      </c>
      <c r="E92" s="3" t="s">
        <v>6</v>
      </c>
      <c r="F92" t="s">
        <v>8</v>
      </c>
      <c r="G92" t="str">
        <f>IF(F92=Requirements!E92,"true","")</f>
        <v/>
      </c>
      <c r="H92" s="3" t="s">
        <v>84</v>
      </c>
      <c r="I92" s="3" t="s">
        <v>59</v>
      </c>
      <c r="J92" s="3"/>
      <c r="K92" t="s">
        <v>26</v>
      </c>
    </row>
    <row r="93" spans="1:28" ht="15.75" customHeight="1" x14ac:dyDescent="0.25">
      <c r="A93" s="3" t="s">
        <v>81</v>
      </c>
      <c r="B93" s="1" t="s">
        <v>92</v>
      </c>
      <c r="C93" s="1" t="s">
        <v>92</v>
      </c>
      <c r="D93" s="1" t="s">
        <v>93</v>
      </c>
      <c r="E93" s="3" t="s">
        <v>6</v>
      </c>
      <c r="F93" t="s">
        <v>8</v>
      </c>
      <c r="G93" t="str">
        <f>IF(F93=Requirements!E93,"true","")</f>
        <v/>
      </c>
      <c r="H93" s="3" t="s">
        <v>59</v>
      </c>
      <c r="I93" s="3" t="s">
        <v>94</v>
      </c>
      <c r="J93" s="3"/>
      <c r="K93" t="s">
        <v>32</v>
      </c>
      <c r="L93" t="s">
        <v>383</v>
      </c>
      <c r="M93" t="s">
        <v>384</v>
      </c>
      <c r="N93" t="s">
        <v>385</v>
      </c>
      <c r="O93" t="s">
        <v>388</v>
      </c>
      <c r="P93" t="s">
        <v>389</v>
      </c>
      <c r="Q93" t="s">
        <v>379</v>
      </c>
      <c r="R93" t="s">
        <v>392</v>
      </c>
      <c r="S93" t="s">
        <v>393</v>
      </c>
      <c r="T93" t="s">
        <v>394</v>
      </c>
      <c r="U93" t="s">
        <v>396</v>
      </c>
      <c r="V93" t="s">
        <v>386</v>
      </c>
      <c r="W93" t="s">
        <v>380</v>
      </c>
      <c r="X93" t="s">
        <v>397</v>
      </c>
      <c r="Y93" t="s">
        <v>381</v>
      </c>
      <c r="Z93" t="s">
        <v>399</v>
      </c>
      <c r="AA93" t="s">
        <v>400</v>
      </c>
      <c r="AB93" t="s">
        <v>402</v>
      </c>
    </row>
    <row r="94" spans="1:28" ht="15.75" customHeight="1" x14ac:dyDescent="0.25">
      <c r="A94" s="3" t="s">
        <v>133</v>
      </c>
      <c r="B94" s="1" t="s">
        <v>321</v>
      </c>
      <c r="C94" s="1" t="s">
        <v>321</v>
      </c>
      <c r="D94" s="3" t="s">
        <v>322</v>
      </c>
      <c r="E94" s="3" t="s">
        <v>7</v>
      </c>
      <c r="F94" t="s">
        <v>8</v>
      </c>
      <c r="G94" t="str">
        <f>IF(F94=Requirements!E94,"true","")</f>
        <v/>
      </c>
      <c r="H94" s="3" t="s">
        <v>73</v>
      </c>
      <c r="I94" s="3"/>
      <c r="J94" s="3"/>
      <c r="K94" t="s">
        <v>40</v>
      </c>
      <c r="L94" t="s">
        <v>393</v>
      </c>
      <c r="M94" t="s">
        <v>381</v>
      </c>
    </row>
    <row r="95" spans="1:28" ht="15.75" customHeight="1" x14ac:dyDescent="0.25">
      <c r="A95" s="3" t="s">
        <v>88</v>
      </c>
      <c r="B95" s="1" t="s">
        <v>89</v>
      </c>
      <c r="C95" s="1" t="s">
        <v>90</v>
      </c>
      <c r="D95" s="1" t="s">
        <v>91</v>
      </c>
      <c r="E95" s="3" t="s">
        <v>4</v>
      </c>
      <c r="F95" t="s">
        <v>370</v>
      </c>
      <c r="G95" t="str">
        <f>IF(F95=Requirements!E95,"true","")</f>
        <v/>
      </c>
      <c r="H95" s="3" t="s">
        <v>40</v>
      </c>
      <c r="I95" s="3" t="s">
        <v>77</v>
      </c>
      <c r="J95" s="3"/>
      <c r="K95" t="s">
        <v>26</v>
      </c>
      <c r="L95" t="s">
        <v>393</v>
      </c>
      <c r="M95" t="s">
        <v>396</v>
      </c>
      <c r="N95" t="s">
        <v>386</v>
      </c>
      <c r="O95" t="s">
        <v>381</v>
      </c>
      <c r="P95" t="s">
        <v>400</v>
      </c>
    </row>
    <row r="96" spans="1:28" ht="15.75" customHeight="1" x14ac:dyDescent="0.25">
      <c r="A96" s="3" t="s">
        <v>88</v>
      </c>
      <c r="B96" s="1" t="s">
        <v>299</v>
      </c>
      <c r="C96" s="1" t="s">
        <v>300</v>
      </c>
      <c r="D96" s="1" t="s">
        <v>301</v>
      </c>
      <c r="E96" s="3" t="s">
        <v>4</v>
      </c>
      <c r="F96" t="s">
        <v>370</v>
      </c>
      <c r="G96" t="str">
        <f>IF(F96=Requirements!E96,"true","")</f>
        <v/>
      </c>
      <c r="H96" s="3" t="s">
        <v>99</v>
      </c>
      <c r="I96" s="3"/>
      <c r="J96" s="3"/>
      <c r="K96" t="s">
        <v>405</v>
      </c>
    </row>
    <row r="97" spans="1:33" ht="15.75" customHeight="1" x14ac:dyDescent="0.25">
      <c r="A97" s="3" t="s">
        <v>133</v>
      </c>
      <c r="B97" s="1" t="s">
        <v>323</v>
      </c>
      <c r="C97" s="1" t="s">
        <v>323</v>
      </c>
      <c r="D97" s="3" t="s">
        <v>324</v>
      </c>
      <c r="E97" s="3" t="s">
        <v>7</v>
      </c>
      <c r="F97" t="s">
        <v>370</v>
      </c>
      <c r="G97" t="str">
        <f>IF(F97=Requirements!E97,"true","")</f>
        <v/>
      </c>
      <c r="H97" s="3" t="s">
        <v>73</v>
      </c>
      <c r="I97" s="3"/>
      <c r="J97" s="3"/>
      <c r="K97" t="s">
        <v>32</v>
      </c>
      <c r="L97" t="s">
        <v>383</v>
      </c>
      <c r="M97" t="s">
        <v>384</v>
      </c>
      <c r="N97" t="s">
        <v>385</v>
      </c>
      <c r="O97" t="s">
        <v>388</v>
      </c>
      <c r="P97" t="s">
        <v>379</v>
      </c>
      <c r="Q97" t="s">
        <v>392</v>
      </c>
      <c r="R97" t="s">
        <v>393</v>
      </c>
      <c r="S97" t="s">
        <v>386</v>
      </c>
      <c r="T97" t="s">
        <v>381</v>
      </c>
      <c r="U97" t="s">
        <v>399</v>
      </c>
      <c r="V97" t="s">
        <v>400</v>
      </c>
      <c r="W97" t="s">
        <v>401</v>
      </c>
    </row>
    <row r="98" spans="1:33" ht="15.75" customHeight="1" x14ac:dyDescent="0.25">
      <c r="A98" s="3" t="s">
        <v>133</v>
      </c>
      <c r="B98" s="1" t="s">
        <v>226</v>
      </c>
      <c r="C98" s="1" t="s">
        <v>226</v>
      </c>
      <c r="D98" s="3" t="s">
        <v>227</v>
      </c>
      <c r="E98" s="3" t="s">
        <v>7</v>
      </c>
      <c r="F98" t="s">
        <v>371</v>
      </c>
      <c r="G98" t="str">
        <f>IF(F98=Requirements!E98,"true","")</f>
        <v/>
      </c>
      <c r="H98" s="3" t="s">
        <v>217</v>
      </c>
      <c r="I98" s="3"/>
      <c r="J98" s="3"/>
      <c r="K98" t="s">
        <v>32</v>
      </c>
      <c r="L98" t="s">
        <v>383</v>
      </c>
      <c r="M98" t="s">
        <v>384</v>
      </c>
      <c r="N98" t="s">
        <v>385</v>
      </c>
      <c r="O98" t="s">
        <v>378</v>
      </c>
      <c r="P98" t="s">
        <v>388</v>
      </c>
      <c r="Q98" t="s">
        <v>392</v>
      </c>
      <c r="R98" t="s">
        <v>393</v>
      </c>
      <c r="S98" t="s">
        <v>394</v>
      </c>
      <c r="T98" t="s">
        <v>396</v>
      </c>
      <c r="U98" t="s">
        <v>381</v>
      </c>
    </row>
    <row r="99" spans="1:33" ht="15.75" customHeight="1" x14ac:dyDescent="0.25">
      <c r="A99" s="3" t="s">
        <v>85</v>
      </c>
      <c r="B99" s="1" t="s">
        <v>86</v>
      </c>
      <c r="C99" s="1" t="s">
        <v>86</v>
      </c>
      <c r="D99" s="3" t="s">
        <v>87</v>
      </c>
      <c r="E99" s="3" t="s">
        <v>54</v>
      </c>
      <c r="F99" t="s">
        <v>369</v>
      </c>
      <c r="G99" t="str">
        <f>IF(F99=Requirements!E99,"true","")</f>
        <v/>
      </c>
      <c r="H99" s="3" t="s">
        <v>55</v>
      </c>
      <c r="I99" s="3" t="s">
        <v>59</v>
      </c>
      <c r="J99" s="3"/>
      <c r="K99" t="s">
        <v>31</v>
      </c>
      <c r="L99" t="s">
        <v>387</v>
      </c>
      <c r="M99" t="s">
        <v>383</v>
      </c>
      <c r="N99" t="s">
        <v>384</v>
      </c>
      <c r="O99" t="s">
        <v>385</v>
      </c>
      <c r="P99" t="s">
        <v>378</v>
      </c>
      <c r="Q99" t="s">
        <v>389</v>
      </c>
      <c r="R99" t="s">
        <v>379</v>
      </c>
      <c r="S99" t="s">
        <v>392</v>
      </c>
      <c r="T99" t="s">
        <v>395</v>
      </c>
      <c r="U99" t="s">
        <v>396</v>
      </c>
      <c r="V99" t="s">
        <v>386</v>
      </c>
      <c r="W99" t="s">
        <v>380</v>
      </c>
      <c r="X99" t="s">
        <v>381</v>
      </c>
    </row>
    <row r="100" spans="1:33" ht="15.75" customHeight="1" x14ac:dyDescent="0.25">
      <c r="A100" s="3" t="s">
        <v>85</v>
      </c>
      <c r="B100" s="1" t="s">
        <v>270</v>
      </c>
      <c r="C100" s="1" t="s">
        <v>270</v>
      </c>
      <c r="D100" s="3" t="s">
        <v>271</v>
      </c>
      <c r="E100" s="3" t="s">
        <v>54</v>
      </c>
      <c r="F100" t="s">
        <v>54</v>
      </c>
      <c r="G100" t="str">
        <f>IF(F100=Requirements!E100,"true","")</f>
        <v>true</v>
      </c>
      <c r="H100" s="3" t="s">
        <v>55</v>
      </c>
      <c r="I100" s="3"/>
      <c r="J100" s="3"/>
      <c r="K100" t="s">
        <v>31</v>
      </c>
      <c r="L100" t="s">
        <v>396</v>
      </c>
    </row>
    <row r="101" spans="1:33" ht="15.75" customHeight="1" x14ac:dyDescent="0.25">
      <c r="A101" s="3" t="s">
        <v>85</v>
      </c>
      <c r="B101" s="1" t="s">
        <v>274</v>
      </c>
      <c r="C101" s="1" t="s">
        <v>274</v>
      </c>
      <c r="D101" s="3" t="s">
        <v>275</v>
      </c>
      <c r="E101" s="3" t="s">
        <v>54</v>
      </c>
      <c r="F101" t="s">
        <v>54</v>
      </c>
      <c r="G101" t="str">
        <f>IF(F101=Requirements!E101,"true","")</f>
        <v>true</v>
      </c>
      <c r="H101" s="3" t="s">
        <v>59</v>
      </c>
      <c r="I101" s="3"/>
      <c r="J101" s="3"/>
      <c r="K101" t="s">
        <v>32</v>
      </c>
      <c r="L101" t="s">
        <v>383</v>
      </c>
      <c r="M101" t="s">
        <v>384</v>
      </c>
      <c r="N101" t="s">
        <v>385</v>
      </c>
      <c r="O101" t="s">
        <v>378</v>
      </c>
      <c r="P101" t="s">
        <v>388</v>
      </c>
      <c r="Q101" t="s">
        <v>392</v>
      </c>
      <c r="R101" t="s">
        <v>393</v>
      </c>
      <c r="S101" t="s">
        <v>394</v>
      </c>
      <c r="T101" t="s">
        <v>396</v>
      </c>
      <c r="U101" t="s">
        <v>381</v>
      </c>
    </row>
    <row r="102" spans="1:33" ht="15.75" customHeight="1" x14ac:dyDescent="0.25">
      <c r="A102" s="3" t="s">
        <v>50</v>
      </c>
      <c r="B102" s="1" t="s">
        <v>51</v>
      </c>
      <c r="C102" s="1" t="s">
        <v>52</v>
      </c>
      <c r="D102" s="3" t="s">
        <v>53</v>
      </c>
      <c r="E102" s="3" t="s">
        <v>54</v>
      </c>
      <c r="F102" t="s">
        <v>54</v>
      </c>
      <c r="G102" t="str">
        <f>IF(F102=Requirements!E102,"true","")</f>
        <v>true</v>
      </c>
      <c r="H102" s="3" t="s">
        <v>55</v>
      </c>
      <c r="I102" s="3" t="s">
        <v>26</v>
      </c>
      <c r="J102" s="3"/>
      <c r="K102" t="s">
        <v>26</v>
      </c>
    </row>
    <row r="103" spans="1:33" ht="15.75" customHeight="1" x14ac:dyDescent="0.25">
      <c r="A103" s="3" t="s">
        <v>50</v>
      </c>
      <c r="B103" s="1" t="s">
        <v>332</v>
      </c>
      <c r="C103" s="1" t="s">
        <v>333</v>
      </c>
      <c r="D103" s="3" t="s">
        <v>334</v>
      </c>
      <c r="E103" s="3" t="s">
        <v>54</v>
      </c>
      <c r="F103" t="s">
        <v>54</v>
      </c>
      <c r="G103" t="str">
        <f>IF(F103=Requirements!E103,"true","")</f>
        <v>true</v>
      </c>
      <c r="H103" s="3" t="s">
        <v>94</v>
      </c>
      <c r="I103" s="3"/>
      <c r="J103" s="3"/>
      <c r="K103" t="s">
        <v>26</v>
      </c>
      <c r="L103" t="s">
        <v>386</v>
      </c>
    </row>
    <row r="104" spans="1:33" ht="15.75" customHeight="1" x14ac:dyDescent="0.25">
      <c r="A104" s="3" t="s">
        <v>37</v>
      </c>
      <c r="B104" s="1" t="s">
        <v>79</v>
      </c>
      <c r="C104" s="1" t="s">
        <v>79</v>
      </c>
      <c r="D104" s="1" t="s">
        <v>80</v>
      </c>
      <c r="E104" s="3" t="s">
        <v>13</v>
      </c>
      <c r="F104" t="s">
        <v>372</v>
      </c>
      <c r="G104" t="str">
        <f>IF(F104=Requirements!E104,"true","")</f>
        <v/>
      </c>
      <c r="H104" s="3" t="s">
        <v>32</v>
      </c>
      <c r="I104" s="3" t="s">
        <v>40</v>
      </c>
      <c r="J104" s="3"/>
      <c r="K104" t="s">
        <v>405</v>
      </c>
    </row>
    <row r="105" spans="1:33" ht="15.75" customHeight="1" x14ac:dyDescent="0.25">
      <c r="A105" s="1" t="s">
        <v>95</v>
      </c>
      <c r="B105" s="1" t="s">
        <v>96</v>
      </c>
      <c r="C105" s="3" t="s">
        <v>97</v>
      </c>
      <c r="D105" s="3" t="s">
        <v>98</v>
      </c>
      <c r="E105" s="3" t="s">
        <v>3</v>
      </c>
      <c r="F105" t="s">
        <v>3</v>
      </c>
      <c r="G105" t="str">
        <f>IF(F105=Requirements!E105,"true","")</f>
        <v>true</v>
      </c>
      <c r="H105" s="3" t="s">
        <v>99</v>
      </c>
      <c r="I105" s="3" t="s">
        <v>100</v>
      </c>
      <c r="J105" s="3"/>
      <c r="K105" t="s">
        <v>31</v>
      </c>
      <c r="L105" t="s">
        <v>387</v>
      </c>
      <c r="M105" t="s">
        <v>383</v>
      </c>
      <c r="N105" t="s">
        <v>384</v>
      </c>
      <c r="O105" t="s">
        <v>385</v>
      </c>
      <c r="P105" t="s">
        <v>378</v>
      </c>
      <c r="Q105" t="s">
        <v>388</v>
      </c>
      <c r="R105" t="s">
        <v>389</v>
      </c>
      <c r="S105" t="s">
        <v>379</v>
      </c>
      <c r="T105" t="s">
        <v>390</v>
      </c>
      <c r="U105" t="s">
        <v>391</v>
      </c>
      <c r="V105" t="s">
        <v>392</v>
      </c>
      <c r="W105" t="s">
        <v>393</v>
      </c>
      <c r="X105" t="s">
        <v>394</v>
      </c>
      <c r="Y105" t="s">
        <v>395</v>
      </c>
      <c r="Z105" t="s">
        <v>396</v>
      </c>
      <c r="AA105" t="s">
        <v>386</v>
      </c>
      <c r="AB105" t="s">
        <v>397</v>
      </c>
      <c r="AC105" t="s">
        <v>381</v>
      </c>
      <c r="AD105" t="s">
        <v>399</v>
      </c>
      <c r="AE105" t="s">
        <v>400</v>
      </c>
      <c r="AF105" t="s">
        <v>402</v>
      </c>
    </row>
    <row r="106" spans="1:33" ht="15.75" customHeight="1" x14ac:dyDescent="0.25">
      <c r="A106" s="1" t="s">
        <v>95</v>
      </c>
      <c r="B106" s="1" t="s">
        <v>302</v>
      </c>
      <c r="C106" s="3" t="s">
        <v>303</v>
      </c>
      <c r="D106" s="3" t="s">
        <v>304</v>
      </c>
      <c r="E106" s="3" t="s">
        <v>3</v>
      </c>
      <c r="F106" t="s">
        <v>3</v>
      </c>
      <c r="G106" t="str">
        <f>IF(F106=Requirements!E106,"true","")</f>
        <v>true</v>
      </c>
      <c r="H106" s="3" t="s">
        <v>99</v>
      </c>
      <c r="I106" s="3"/>
      <c r="J106" s="3"/>
      <c r="K106" t="s">
        <v>31</v>
      </c>
      <c r="L106" t="s">
        <v>387</v>
      </c>
      <c r="M106" t="s">
        <v>383</v>
      </c>
      <c r="N106" t="s">
        <v>384</v>
      </c>
      <c r="O106" t="s">
        <v>385</v>
      </c>
      <c r="P106" t="s">
        <v>378</v>
      </c>
      <c r="Q106" t="s">
        <v>388</v>
      </c>
      <c r="R106" t="s">
        <v>389</v>
      </c>
      <c r="S106" t="s">
        <v>379</v>
      </c>
      <c r="T106" t="s">
        <v>390</v>
      </c>
      <c r="U106" t="s">
        <v>391</v>
      </c>
      <c r="V106" t="s">
        <v>392</v>
      </c>
      <c r="W106" t="s">
        <v>393</v>
      </c>
      <c r="X106" t="s">
        <v>394</v>
      </c>
      <c r="Y106" t="s">
        <v>395</v>
      </c>
      <c r="Z106" t="s">
        <v>396</v>
      </c>
      <c r="AA106" t="s">
        <v>386</v>
      </c>
      <c r="AB106" t="s">
        <v>380</v>
      </c>
      <c r="AC106" t="s">
        <v>381</v>
      </c>
      <c r="AD106" t="s">
        <v>399</v>
      </c>
      <c r="AE106" t="s">
        <v>400</v>
      </c>
      <c r="AF106" t="s">
        <v>401</v>
      </c>
      <c r="AG106" t="s">
        <v>402</v>
      </c>
    </row>
    <row r="107" spans="1:33" ht="15.75" customHeight="1" x14ac:dyDescent="0.25">
      <c r="A107" s="1" t="s">
        <v>95</v>
      </c>
      <c r="B107" s="1" t="s">
        <v>201</v>
      </c>
      <c r="C107" s="3" t="s">
        <v>202</v>
      </c>
      <c r="D107" s="3" t="s">
        <v>203</v>
      </c>
      <c r="E107" s="3" t="s">
        <v>3</v>
      </c>
      <c r="F107" t="s">
        <v>3</v>
      </c>
      <c r="G107" t="str">
        <f>IF(F107=Requirements!E107,"true","")</f>
        <v>true</v>
      </c>
      <c r="H107" s="3" t="s">
        <v>185</v>
      </c>
      <c r="I107" s="3"/>
      <c r="J107" s="3"/>
      <c r="K107" t="s">
        <v>405</v>
      </c>
    </row>
    <row r="108" spans="1:33" ht="15.75" customHeight="1" x14ac:dyDescent="0.25">
      <c r="A108" s="1" t="s">
        <v>95</v>
      </c>
      <c r="B108" s="1" t="s">
        <v>198</v>
      </c>
      <c r="C108" s="3" t="s">
        <v>199</v>
      </c>
      <c r="D108" s="3" t="s">
        <v>200</v>
      </c>
      <c r="E108" s="3" t="s">
        <v>3</v>
      </c>
      <c r="F108" t="s">
        <v>3</v>
      </c>
      <c r="G108" t="str">
        <f>IF(F108=Requirements!E108,"true","")</f>
        <v>true</v>
      </c>
      <c r="H108" s="3" t="s">
        <v>185</v>
      </c>
      <c r="I108" s="3"/>
      <c r="J108" s="3"/>
      <c r="K108" t="s">
        <v>32</v>
      </c>
      <c r="L108" t="s">
        <v>383</v>
      </c>
      <c r="M108" t="s">
        <v>384</v>
      </c>
      <c r="N108" t="s">
        <v>385</v>
      </c>
      <c r="O108" t="s">
        <v>378</v>
      </c>
      <c r="P108" t="s">
        <v>393</v>
      </c>
      <c r="Q108" t="s">
        <v>396</v>
      </c>
      <c r="R108" t="s">
        <v>386</v>
      </c>
      <c r="S108" t="s">
        <v>381</v>
      </c>
      <c r="T108" t="s">
        <v>400</v>
      </c>
    </row>
    <row r="109" spans="1:33" ht="15.75" customHeight="1" x14ac:dyDescent="0.25">
      <c r="A109" s="1" t="s">
        <v>95</v>
      </c>
      <c r="B109" s="1" t="s">
        <v>204</v>
      </c>
      <c r="C109" s="3" t="s">
        <v>205</v>
      </c>
      <c r="D109" s="3" t="s">
        <v>206</v>
      </c>
      <c r="E109" s="3" t="s">
        <v>3</v>
      </c>
      <c r="F109" t="s">
        <v>3</v>
      </c>
      <c r="G109" t="str">
        <f>IF(F109=Requirements!E109,"true","")</f>
        <v>true</v>
      </c>
      <c r="H109" s="3" t="s">
        <v>185</v>
      </c>
      <c r="I109" s="3"/>
      <c r="J109" s="3"/>
      <c r="K109" t="s">
        <v>32</v>
      </c>
      <c r="L109" t="s">
        <v>386</v>
      </c>
    </row>
    <row r="110" spans="1:33" ht="15.75" customHeight="1" x14ac:dyDescent="0.25">
      <c r="A110" s="1" t="s">
        <v>95</v>
      </c>
      <c r="B110" s="1" t="s">
        <v>305</v>
      </c>
      <c r="C110" s="3" t="s">
        <v>306</v>
      </c>
      <c r="D110" s="3" t="s">
        <v>307</v>
      </c>
      <c r="E110" s="3" t="s">
        <v>3</v>
      </c>
      <c r="F110" t="s">
        <v>3</v>
      </c>
      <c r="G110" t="str">
        <f>IF(F110=Requirements!E110,"true","")</f>
        <v>true</v>
      </c>
      <c r="H110" s="3" t="s">
        <v>99</v>
      </c>
      <c r="I110" s="3"/>
      <c r="J110" s="3"/>
      <c r="K110" t="s">
        <v>26</v>
      </c>
    </row>
    <row r="111" spans="1:33" ht="15.75" customHeight="1" x14ac:dyDescent="0.25">
      <c r="A111" s="3" t="s">
        <v>47</v>
      </c>
      <c r="B111" s="1" t="s">
        <v>68</v>
      </c>
      <c r="C111" s="1" t="s">
        <v>68</v>
      </c>
      <c r="D111" s="3" t="s">
        <v>69</v>
      </c>
      <c r="E111" s="3" t="s">
        <v>11</v>
      </c>
      <c r="F111" t="s">
        <v>3</v>
      </c>
      <c r="G111" t="str">
        <f>IF(F111=Requirements!E111,"true","")</f>
        <v/>
      </c>
      <c r="H111" s="3" t="s">
        <v>27</v>
      </c>
      <c r="I111" s="3" t="s">
        <v>65</v>
      </c>
      <c r="J111" s="3"/>
      <c r="K111" t="s">
        <v>32</v>
      </c>
      <c r="L111" t="s">
        <v>383</v>
      </c>
      <c r="M111" t="s">
        <v>385</v>
      </c>
      <c r="N111" t="s">
        <v>379</v>
      </c>
      <c r="O111" t="s">
        <v>381</v>
      </c>
    </row>
    <row r="112" spans="1:33" ht="15.75" customHeight="1" x14ac:dyDescent="0.25">
      <c r="A112" s="3" t="s">
        <v>109</v>
      </c>
      <c r="B112" s="3" t="s">
        <v>214</v>
      </c>
      <c r="C112" s="3" t="s">
        <v>215</v>
      </c>
      <c r="D112" s="1" t="s">
        <v>216</v>
      </c>
      <c r="E112" s="3" t="s">
        <v>1</v>
      </c>
      <c r="F112" t="s">
        <v>3</v>
      </c>
      <c r="G112" t="str">
        <f>IF(F112=Requirements!E112,"true","")</f>
        <v/>
      </c>
      <c r="H112" s="3" t="s">
        <v>217</v>
      </c>
      <c r="I112" s="3"/>
      <c r="J112" s="3"/>
      <c r="K112" t="s">
        <v>32</v>
      </c>
      <c r="L112" t="s">
        <v>383</v>
      </c>
      <c r="M112" t="s">
        <v>384</v>
      </c>
      <c r="N112" t="s">
        <v>385</v>
      </c>
      <c r="O112" t="s">
        <v>378</v>
      </c>
      <c r="P112" t="s">
        <v>393</v>
      </c>
      <c r="Q112" t="s">
        <v>386</v>
      </c>
      <c r="R112" t="s">
        <v>381</v>
      </c>
      <c r="S112" t="s">
        <v>400</v>
      </c>
    </row>
    <row r="113" spans="1:35" ht="15.75" customHeight="1" x14ac:dyDescent="0.25">
      <c r="A113" s="3" t="s">
        <v>109</v>
      </c>
      <c r="B113" s="3" t="s">
        <v>218</v>
      </c>
      <c r="C113" s="3" t="s">
        <v>219</v>
      </c>
      <c r="D113" s="1" t="s">
        <v>220</v>
      </c>
      <c r="E113" s="3" t="s">
        <v>1</v>
      </c>
      <c r="F113" t="s">
        <v>3</v>
      </c>
      <c r="G113" t="str">
        <f>IF(F113=Requirements!E113,"true","")</f>
        <v/>
      </c>
      <c r="H113" s="3" t="s">
        <v>217</v>
      </c>
      <c r="I113" s="3"/>
      <c r="J113" s="3"/>
      <c r="K113" t="s">
        <v>31</v>
      </c>
      <c r="L113" t="s">
        <v>387</v>
      </c>
      <c r="M113" t="s">
        <v>383</v>
      </c>
      <c r="N113" t="s">
        <v>384</v>
      </c>
      <c r="O113" t="s">
        <v>385</v>
      </c>
      <c r="P113" t="s">
        <v>378</v>
      </c>
      <c r="Q113" t="s">
        <v>388</v>
      </c>
      <c r="R113" t="s">
        <v>389</v>
      </c>
      <c r="S113" t="s">
        <v>379</v>
      </c>
      <c r="T113" t="s">
        <v>390</v>
      </c>
      <c r="U113" t="s">
        <v>391</v>
      </c>
      <c r="V113" t="s">
        <v>392</v>
      </c>
      <c r="W113" t="s">
        <v>393</v>
      </c>
      <c r="X113" t="s">
        <v>394</v>
      </c>
      <c r="Y113" t="s">
        <v>395</v>
      </c>
      <c r="Z113" t="s">
        <v>396</v>
      </c>
      <c r="AA113" t="s">
        <v>386</v>
      </c>
      <c r="AB113" t="s">
        <v>380</v>
      </c>
      <c r="AC113" t="s">
        <v>397</v>
      </c>
      <c r="AD113" t="s">
        <v>398</v>
      </c>
      <c r="AE113" t="s">
        <v>381</v>
      </c>
      <c r="AF113" t="s">
        <v>399</v>
      </c>
      <c r="AG113" t="s">
        <v>400</v>
      </c>
      <c r="AH113" t="s">
        <v>401</v>
      </c>
      <c r="AI113" t="s">
        <v>402</v>
      </c>
    </row>
    <row r="114" spans="1:35" ht="15.75" customHeight="1" x14ac:dyDescent="0.25">
      <c r="A114" s="3" t="s">
        <v>28</v>
      </c>
      <c r="B114" s="1" t="s">
        <v>268</v>
      </c>
      <c r="C114" s="1" t="s">
        <v>268</v>
      </c>
      <c r="D114" s="1" t="s">
        <v>269</v>
      </c>
      <c r="E114" s="3" t="s">
        <v>9</v>
      </c>
      <c r="F114" t="s">
        <v>373</v>
      </c>
      <c r="G114" t="str">
        <f>IF(F114=Requirements!E114,"true","")</f>
        <v/>
      </c>
      <c r="H114" s="3" t="s">
        <v>55</v>
      </c>
      <c r="I114" s="3"/>
      <c r="J114" s="3"/>
      <c r="K114" t="s">
        <v>59</v>
      </c>
    </row>
    <row r="115" spans="1:35" ht="15.75" customHeight="1" x14ac:dyDescent="0.25">
      <c r="A115" s="3" t="s">
        <v>28</v>
      </c>
      <c r="B115" s="1" t="s">
        <v>264</v>
      </c>
      <c r="C115" s="1" t="s">
        <v>264</v>
      </c>
      <c r="D115" s="1" t="s">
        <v>265</v>
      </c>
      <c r="E115" s="3" t="s">
        <v>9</v>
      </c>
      <c r="F115" t="s">
        <v>374</v>
      </c>
      <c r="G115" t="str">
        <f>IF(F115=Requirements!E115,"true","")</f>
        <v/>
      </c>
      <c r="H115" s="3" t="s">
        <v>55</v>
      </c>
      <c r="I115" s="3"/>
      <c r="J115" s="3"/>
      <c r="K115" t="s">
        <v>26</v>
      </c>
    </row>
    <row r="116" spans="1:35" ht="15.75" customHeight="1" x14ac:dyDescent="0.25">
      <c r="A116" s="3" t="s">
        <v>28</v>
      </c>
      <c r="B116" s="1" t="s">
        <v>337</v>
      </c>
      <c r="C116" s="1" t="s">
        <v>337</v>
      </c>
      <c r="D116" s="1" t="s">
        <v>338</v>
      </c>
      <c r="E116" s="3" t="s">
        <v>9</v>
      </c>
      <c r="F116" t="s">
        <v>374</v>
      </c>
      <c r="G116" t="str">
        <f>IF(F116=Requirements!E116,"true","")</f>
        <v/>
      </c>
      <c r="H116" s="3" t="s">
        <v>100</v>
      </c>
      <c r="I116" s="3"/>
      <c r="J116" s="3"/>
      <c r="K116" t="s">
        <v>45</v>
      </c>
      <c r="L116" t="s">
        <v>388</v>
      </c>
      <c r="M116" t="s">
        <v>379</v>
      </c>
      <c r="N116" t="s">
        <v>381</v>
      </c>
    </row>
    <row r="117" spans="1:35" ht="15.75" customHeight="1" x14ac:dyDescent="0.25">
      <c r="A117" s="3" t="s">
        <v>28</v>
      </c>
      <c r="B117" s="1" t="s">
        <v>29</v>
      </c>
      <c r="C117" s="1" t="s">
        <v>29</v>
      </c>
      <c r="D117" s="1" t="s">
        <v>30</v>
      </c>
      <c r="E117" s="3" t="s">
        <v>9</v>
      </c>
      <c r="F117" t="s">
        <v>373</v>
      </c>
      <c r="G117" t="str">
        <f>IF(F117=Requirements!E117,"true","")</f>
        <v/>
      </c>
      <c r="H117" s="3" t="s">
        <v>31</v>
      </c>
      <c r="I117" s="3" t="s">
        <v>32</v>
      </c>
      <c r="J117" s="3"/>
      <c r="K117" t="s">
        <v>410</v>
      </c>
    </row>
    <row r="118" spans="1:35" ht="15.75" customHeight="1" x14ac:dyDescent="0.25">
      <c r="A118" s="3" t="s">
        <v>28</v>
      </c>
      <c r="B118" s="1" t="s">
        <v>262</v>
      </c>
      <c r="C118" s="1" t="s">
        <v>262</v>
      </c>
      <c r="D118" s="1" t="s">
        <v>263</v>
      </c>
      <c r="E118" s="3" t="s">
        <v>9</v>
      </c>
      <c r="F118" t="s">
        <v>374</v>
      </c>
      <c r="G118" t="str">
        <f>IF(F118=Requirements!E118,"true","")</f>
        <v/>
      </c>
      <c r="H118" s="3" t="s">
        <v>55</v>
      </c>
      <c r="I118" s="3"/>
      <c r="J118" s="3"/>
      <c r="K118" t="s">
        <v>59</v>
      </c>
    </row>
    <row r="119" spans="1:35" ht="15.75" customHeight="1" x14ac:dyDescent="0.25">
      <c r="A119" s="3" t="s">
        <v>28</v>
      </c>
      <c r="B119" s="1" t="s">
        <v>266</v>
      </c>
      <c r="C119" s="1" t="s">
        <v>266</v>
      </c>
      <c r="D119" s="1" t="s">
        <v>267</v>
      </c>
      <c r="E119" s="3" t="s">
        <v>9</v>
      </c>
      <c r="F119" t="s">
        <v>374</v>
      </c>
      <c r="G119" t="str">
        <f>IF(F119=Requirements!E119,"true","")</f>
        <v/>
      </c>
      <c r="H119" s="3" t="s">
        <v>55</v>
      </c>
      <c r="I119" s="3"/>
      <c r="J119" s="3"/>
      <c r="K119" t="s">
        <v>31</v>
      </c>
      <c r="L119" t="s">
        <v>387</v>
      </c>
      <c r="M119" t="s">
        <v>383</v>
      </c>
      <c r="N119" t="s">
        <v>384</v>
      </c>
      <c r="O119" t="s">
        <v>385</v>
      </c>
      <c r="P119" t="s">
        <v>378</v>
      </c>
      <c r="Q119" t="s">
        <v>388</v>
      </c>
      <c r="R119" t="s">
        <v>389</v>
      </c>
      <c r="S119" t="s">
        <v>379</v>
      </c>
      <c r="T119" t="s">
        <v>390</v>
      </c>
      <c r="U119" t="s">
        <v>391</v>
      </c>
      <c r="V119" t="s">
        <v>392</v>
      </c>
      <c r="W119" t="s">
        <v>393</v>
      </c>
      <c r="X119" t="s">
        <v>394</v>
      </c>
      <c r="Y119" t="s">
        <v>395</v>
      </c>
      <c r="Z119" t="s">
        <v>396</v>
      </c>
      <c r="AA119" t="s">
        <v>386</v>
      </c>
      <c r="AB119" t="s">
        <v>397</v>
      </c>
      <c r="AC119" t="s">
        <v>381</v>
      </c>
      <c r="AD119" t="s">
        <v>399</v>
      </c>
      <c r="AE119" t="s">
        <v>400</v>
      </c>
      <c r="AF119" t="s">
        <v>402</v>
      </c>
    </row>
    <row r="120" spans="1:35" ht="15.75" customHeight="1" x14ac:dyDescent="0.25">
      <c r="A120" s="3" t="s">
        <v>28</v>
      </c>
      <c r="B120" s="1" t="s">
        <v>101</v>
      </c>
      <c r="C120" s="1" t="s">
        <v>101</v>
      </c>
      <c r="D120" s="1" t="s">
        <v>102</v>
      </c>
      <c r="E120" s="3" t="s">
        <v>9</v>
      </c>
      <c r="F120" t="s">
        <v>12</v>
      </c>
      <c r="G120" t="str">
        <f>IF(F120=Requirements!E120,"true","")</f>
        <v/>
      </c>
      <c r="H120" s="3" t="s">
        <v>31</v>
      </c>
      <c r="I120" s="3"/>
      <c r="J120" s="3"/>
      <c r="K120" t="s">
        <v>32</v>
      </c>
      <c r="L120" t="s">
        <v>383</v>
      </c>
      <c r="M120" t="s">
        <v>385</v>
      </c>
      <c r="N120" t="s">
        <v>378</v>
      </c>
      <c r="O120" t="s">
        <v>393</v>
      </c>
      <c r="P120" t="s">
        <v>394</v>
      </c>
      <c r="Q120" t="s">
        <v>396</v>
      </c>
      <c r="R120" t="s">
        <v>381</v>
      </c>
    </row>
    <row r="121" spans="1:35" ht="15.75" customHeight="1" x14ac:dyDescent="0.25">
      <c r="F121" s="5" t="s">
        <v>375</v>
      </c>
      <c r="G121">
        <f>COUNTIF(G2:G120,F121)</f>
        <v>82</v>
      </c>
    </row>
  </sheetData>
  <autoFilter ref="A1:J120" xr:uid="{00000000-0009-0000-0000-000001000000}">
    <sortState xmlns:xlrd2="http://schemas.microsoft.com/office/spreadsheetml/2017/richdata2" ref="A2:J120">
      <sortCondition ref="D1:D120"/>
    </sortState>
  </autoFilter>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93F71B-78B1-4C96-9611-92E4F6431592}">
  <dimension ref="A2:A120"/>
  <sheetViews>
    <sheetView workbookViewId="0">
      <selection activeCell="B1" sqref="B1:AC1048576"/>
    </sheetView>
  </sheetViews>
  <sheetFormatPr defaultRowHeight="13.2" x14ac:dyDescent="0.25"/>
  <sheetData>
    <row r="2" spans="1:1" x14ac:dyDescent="0.25">
      <c r="A2" t="s">
        <v>376</v>
      </c>
    </row>
    <row r="3" spans="1:1" x14ac:dyDescent="0.25">
      <c r="A3" t="s">
        <v>377</v>
      </c>
    </row>
    <row r="4" spans="1:1" x14ac:dyDescent="0.25">
      <c r="A4" t="s">
        <v>382</v>
      </c>
    </row>
    <row r="5" spans="1:1" x14ac:dyDescent="0.25">
      <c r="A5" t="s">
        <v>157</v>
      </c>
    </row>
    <row r="6" spans="1:1" x14ac:dyDescent="0.25">
      <c r="A6" t="s">
        <v>62</v>
      </c>
    </row>
    <row r="7" spans="1:1" x14ac:dyDescent="0.25">
      <c r="A7" t="s">
        <v>336</v>
      </c>
    </row>
    <row r="8" spans="1:1" x14ac:dyDescent="0.25">
      <c r="A8" t="s">
        <v>137</v>
      </c>
    </row>
    <row r="9" spans="1:1" x14ac:dyDescent="0.25">
      <c r="A9" t="s">
        <v>155</v>
      </c>
    </row>
    <row r="10" spans="1:1" x14ac:dyDescent="0.25">
      <c r="A10" t="s">
        <v>329</v>
      </c>
    </row>
    <row r="11" spans="1:1" x14ac:dyDescent="0.25">
      <c r="A11" t="s">
        <v>118</v>
      </c>
    </row>
    <row r="12" spans="1:1" x14ac:dyDescent="0.25">
      <c r="A12" t="s">
        <v>403</v>
      </c>
    </row>
    <row r="13" spans="1:1" x14ac:dyDescent="0.25">
      <c r="A13" t="s">
        <v>404</v>
      </c>
    </row>
    <row r="14" spans="1:1" x14ac:dyDescent="0.25">
      <c r="A14" t="s">
        <v>406</v>
      </c>
    </row>
    <row r="15" spans="1:1" x14ac:dyDescent="0.25">
      <c r="A15" t="s">
        <v>407</v>
      </c>
    </row>
    <row r="16" spans="1:1" x14ac:dyDescent="0.25">
      <c r="A16" t="s">
        <v>24</v>
      </c>
    </row>
    <row r="17" spans="1:1" x14ac:dyDescent="0.25">
      <c r="A17" t="s">
        <v>350</v>
      </c>
    </row>
    <row r="18" spans="1:1" x14ac:dyDescent="0.25">
      <c r="A18" s="5" t="s">
        <v>408</v>
      </c>
    </row>
    <row r="19" spans="1:1" x14ac:dyDescent="0.25">
      <c r="A19" t="s">
        <v>341</v>
      </c>
    </row>
    <row r="20" spans="1:1" x14ac:dyDescent="0.25">
      <c r="A20" t="s">
        <v>280</v>
      </c>
    </row>
    <row r="21" spans="1:1" x14ac:dyDescent="0.25">
      <c r="A21" t="s">
        <v>277</v>
      </c>
    </row>
    <row r="22" spans="1:1" x14ac:dyDescent="0.25">
      <c r="A22" t="s">
        <v>135</v>
      </c>
    </row>
    <row r="23" spans="1:1" x14ac:dyDescent="0.25">
      <c r="A23" t="s">
        <v>225</v>
      </c>
    </row>
    <row r="24" spans="1:1" x14ac:dyDescent="0.25">
      <c r="A24" t="s">
        <v>409</v>
      </c>
    </row>
    <row r="25" spans="1:1" x14ac:dyDescent="0.25">
      <c r="A25" t="s">
        <v>58</v>
      </c>
    </row>
    <row r="26" spans="1:1" x14ac:dyDescent="0.25">
      <c r="A26" t="s">
        <v>129</v>
      </c>
    </row>
    <row r="27" spans="1:1" x14ac:dyDescent="0.25">
      <c r="A27" t="s">
        <v>126</v>
      </c>
    </row>
    <row r="28" spans="1:1" x14ac:dyDescent="0.25">
      <c r="A28" t="s">
        <v>105</v>
      </c>
    </row>
    <row r="29" spans="1:1" x14ac:dyDescent="0.25">
      <c r="A29" t="s">
        <v>411</v>
      </c>
    </row>
    <row r="30" spans="1:1" x14ac:dyDescent="0.25">
      <c r="A30" t="s">
        <v>273</v>
      </c>
    </row>
    <row r="31" spans="1:1" x14ac:dyDescent="0.25">
      <c r="A31" t="s">
        <v>412</v>
      </c>
    </row>
    <row r="32" spans="1:1" x14ac:dyDescent="0.25">
      <c r="A32" t="s">
        <v>147</v>
      </c>
    </row>
    <row r="33" spans="1:1" x14ac:dyDescent="0.25">
      <c r="A33" t="s">
        <v>168</v>
      </c>
    </row>
    <row r="34" spans="1:1" x14ac:dyDescent="0.25">
      <c r="A34" t="s">
        <v>286</v>
      </c>
    </row>
    <row r="35" spans="1:1" x14ac:dyDescent="0.25">
      <c r="A35" t="s">
        <v>290</v>
      </c>
    </row>
    <row r="36" spans="1:1" x14ac:dyDescent="0.25">
      <c r="A36" t="s">
        <v>312</v>
      </c>
    </row>
    <row r="37" spans="1:1" x14ac:dyDescent="0.25">
      <c r="A37" t="s">
        <v>288</v>
      </c>
    </row>
    <row r="38" spans="1:1" x14ac:dyDescent="0.25">
      <c r="A38" t="s">
        <v>132</v>
      </c>
    </row>
    <row r="39" spans="1:1" x14ac:dyDescent="0.25">
      <c r="A39" t="s">
        <v>316</v>
      </c>
    </row>
    <row r="40" spans="1:1" x14ac:dyDescent="0.25">
      <c r="A40" t="s">
        <v>242</v>
      </c>
    </row>
    <row r="41" spans="1:1" x14ac:dyDescent="0.25">
      <c r="A41" t="s">
        <v>72</v>
      </c>
    </row>
    <row r="42" spans="1:1" x14ac:dyDescent="0.25">
      <c r="A42" t="s">
        <v>314</v>
      </c>
    </row>
    <row r="43" spans="1:1" x14ac:dyDescent="0.25">
      <c r="A43" t="s">
        <v>318</v>
      </c>
    </row>
    <row r="44" spans="1:1" x14ac:dyDescent="0.25">
      <c r="A44" t="s">
        <v>292</v>
      </c>
    </row>
    <row r="45" spans="1:1" x14ac:dyDescent="0.25">
      <c r="A45" t="s">
        <v>165</v>
      </c>
    </row>
    <row r="46" spans="1:1" x14ac:dyDescent="0.25">
      <c r="A46" t="s">
        <v>239</v>
      </c>
    </row>
    <row r="47" spans="1:1" x14ac:dyDescent="0.25">
      <c r="A47" t="s">
        <v>320</v>
      </c>
    </row>
    <row r="48" spans="1:1" x14ac:dyDescent="0.25">
      <c r="A48" t="s">
        <v>44</v>
      </c>
    </row>
    <row r="49" spans="1:1" x14ac:dyDescent="0.25">
      <c r="A49" t="s">
        <v>230</v>
      </c>
    </row>
    <row r="50" spans="1:1" x14ac:dyDescent="0.25">
      <c r="A50" t="s">
        <v>234</v>
      </c>
    </row>
    <row r="51" spans="1:1" x14ac:dyDescent="0.25">
      <c r="A51" t="s">
        <v>172</v>
      </c>
    </row>
    <row r="52" spans="1:1" x14ac:dyDescent="0.25">
      <c r="A52" t="s">
        <v>39</v>
      </c>
    </row>
    <row r="53" spans="1:1" x14ac:dyDescent="0.25">
      <c r="A53" t="s">
        <v>67</v>
      </c>
    </row>
    <row r="54" spans="1:1" x14ac:dyDescent="0.25">
      <c r="A54" t="s">
        <v>64</v>
      </c>
    </row>
    <row r="55" spans="1:1" x14ac:dyDescent="0.25">
      <c r="A55" t="s">
        <v>213</v>
      </c>
    </row>
    <row r="56" spans="1:1" x14ac:dyDescent="0.25">
      <c r="A56" t="s">
        <v>209</v>
      </c>
    </row>
    <row r="57" spans="1:1" x14ac:dyDescent="0.25">
      <c r="A57" t="s">
        <v>255</v>
      </c>
    </row>
    <row r="58" spans="1:1" x14ac:dyDescent="0.25">
      <c r="A58" t="s">
        <v>413</v>
      </c>
    </row>
    <row r="59" spans="1:1" x14ac:dyDescent="0.25">
      <c r="A59" t="s">
        <v>414</v>
      </c>
    </row>
    <row r="60" spans="1:1" x14ac:dyDescent="0.25">
      <c r="A60" t="s">
        <v>144</v>
      </c>
    </row>
    <row r="61" spans="1:1" x14ac:dyDescent="0.25">
      <c r="A61" t="s">
        <v>36</v>
      </c>
    </row>
    <row r="62" spans="1:1" x14ac:dyDescent="0.25">
      <c r="A62" t="s">
        <v>295</v>
      </c>
    </row>
    <row r="63" spans="1:1" x14ac:dyDescent="0.25">
      <c r="A63" t="s">
        <v>188</v>
      </c>
    </row>
    <row r="64" spans="1:1" x14ac:dyDescent="0.25">
      <c r="A64" t="s">
        <v>160</v>
      </c>
    </row>
    <row r="65" spans="1:1" x14ac:dyDescent="0.25">
      <c r="A65" t="s">
        <v>298</v>
      </c>
    </row>
    <row r="66" spans="1:1" x14ac:dyDescent="0.25">
      <c r="A66" t="s">
        <v>184</v>
      </c>
    </row>
    <row r="67" spans="1:1" x14ac:dyDescent="0.25">
      <c r="A67" t="s">
        <v>223</v>
      </c>
    </row>
    <row r="68" spans="1:1" x14ac:dyDescent="0.25">
      <c r="A68" t="s">
        <v>193</v>
      </c>
    </row>
    <row r="69" spans="1:1" x14ac:dyDescent="0.25">
      <c r="A69" t="s">
        <v>191</v>
      </c>
    </row>
    <row r="70" spans="1:1" x14ac:dyDescent="0.25">
      <c r="A70" t="s">
        <v>181</v>
      </c>
    </row>
    <row r="71" spans="1:1" x14ac:dyDescent="0.25">
      <c r="A71" t="s">
        <v>236</v>
      </c>
    </row>
    <row r="72" spans="1:1" x14ac:dyDescent="0.25">
      <c r="A72" t="s">
        <v>49</v>
      </c>
    </row>
    <row r="73" spans="1:1" x14ac:dyDescent="0.25">
      <c r="A73" t="s">
        <v>177</v>
      </c>
    </row>
    <row r="74" spans="1:1" x14ac:dyDescent="0.25">
      <c r="A74" t="s">
        <v>162</v>
      </c>
    </row>
    <row r="75" spans="1:1" x14ac:dyDescent="0.25">
      <c r="A75" t="s">
        <v>175</v>
      </c>
    </row>
    <row r="76" spans="1:1" x14ac:dyDescent="0.25">
      <c r="A76" t="s">
        <v>356</v>
      </c>
    </row>
    <row r="77" spans="1:1" x14ac:dyDescent="0.25">
      <c r="A77" t="s">
        <v>246</v>
      </c>
    </row>
    <row r="78" spans="1:1" x14ac:dyDescent="0.25">
      <c r="A78" t="s">
        <v>252</v>
      </c>
    </row>
    <row r="79" spans="1:1" x14ac:dyDescent="0.25">
      <c r="A79" t="s">
        <v>353</v>
      </c>
    </row>
    <row r="80" spans="1:1" x14ac:dyDescent="0.25">
      <c r="A80" t="s">
        <v>249</v>
      </c>
    </row>
    <row r="81" spans="1:1" x14ac:dyDescent="0.25">
      <c r="A81" t="s">
        <v>179</v>
      </c>
    </row>
    <row r="82" spans="1:1" x14ac:dyDescent="0.25">
      <c r="A82" t="s">
        <v>331</v>
      </c>
    </row>
    <row r="83" spans="1:1" x14ac:dyDescent="0.25">
      <c r="A83" t="s">
        <v>76</v>
      </c>
    </row>
    <row r="84" spans="1:1" x14ac:dyDescent="0.25">
      <c r="A84" t="s">
        <v>363</v>
      </c>
    </row>
    <row r="85" spans="1:1" x14ac:dyDescent="0.25">
      <c r="A85" t="s">
        <v>366</v>
      </c>
    </row>
    <row r="86" spans="1:1" x14ac:dyDescent="0.25">
      <c r="A86" t="s">
        <v>359</v>
      </c>
    </row>
    <row r="87" spans="1:1" x14ac:dyDescent="0.25">
      <c r="A87" t="s">
        <v>347</v>
      </c>
    </row>
    <row r="88" spans="1:1" x14ac:dyDescent="0.25">
      <c r="A88" t="s">
        <v>415</v>
      </c>
    </row>
    <row r="89" spans="1:1" x14ac:dyDescent="0.25">
      <c r="A89" t="s">
        <v>344</v>
      </c>
    </row>
    <row r="90" spans="1:1" x14ac:dyDescent="0.25">
      <c r="A90" t="s">
        <v>108</v>
      </c>
    </row>
    <row r="91" spans="1:1" x14ac:dyDescent="0.25">
      <c r="A91" t="s">
        <v>261</v>
      </c>
    </row>
    <row r="92" spans="1:1" x14ac:dyDescent="0.25">
      <c r="A92" t="s">
        <v>83</v>
      </c>
    </row>
    <row r="93" spans="1:1" x14ac:dyDescent="0.25">
      <c r="A93" t="s">
        <v>93</v>
      </c>
    </row>
    <row r="94" spans="1:1" x14ac:dyDescent="0.25">
      <c r="A94" t="s">
        <v>322</v>
      </c>
    </row>
    <row r="95" spans="1:1" x14ac:dyDescent="0.25">
      <c r="A95" t="s">
        <v>91</v>
      </c>
    </row>
    <row r="96" spans="1:1" x14ac:dyDescent="0.25">
      <c r="A96" t="s">
        <v>301</v>
      </c>
    </row>
    <row r="97" spans="1:1" x14ac:dyDescent="0.25">
      <c r="A97" t="s">
        <v>324</v>
      </c>
    </row>
    <row r="98" spans="1:1" x14ac:dyDescent="0.25">
      <c r="A98" t="s">
        <v>227</v>
      </c>
    </row>
    <row r="99" spans="1:1" x14ac:dyDescent="0.25">
      <c r="A99" t="s">
        <v>87</v>
      </c>
    </row>
    <row r="100" spans="1:1" x14ac:dyDescent="0.25">
      <c r="A100" t="s">
        <v>271</v>
      </c>
    </row>
    <row r="101" spans="1:1" x14ac:dyDescent="0.25">
      <c r="A101" t="s">
        <v>416</v>
      </c>
    </row>
    <row r="102" spans="1:1" x14ac:dyDescent="0.25">
      <c r="A102" t="s">
        <v>53</v>
      </c>
    </row>
    <row r="103" spans="1:1" x14ac:dyDescent="0.25">
      <c r="A103" t="s">
        <v>417</v>
      </c>
    </row>
    <row r="104" spans="1:1" x14ac:dyDescent="0.25">
      <c r="A104" t="s">
        <v>80</v>
      </c>
    </row>
    <row r="105" spans="1:1" x14ac:dyDescent="0.25">
      <c r="A105" t="s">
        <v>98</v>
      </c>
    </row>
    <row r="106" spans="1:1" x14ac:dyDescent="0.25">
      <c r="A106" t="s">
        <v>304</v>
      </c>
    </row>
    <row r="107" spans="1:1" x14ac:dyDescent="0.25">
      <c r="A107" t="s">
        <v>203</v>
      </c>
    </row>
    <row r="108" spans="1:1" x14ac:dyDescent="0.25">
      <c r="A108" t="s">
        <v>200</v>
      </c>
    </row>
    <row r="109" spans="1:1" x14ac:dyDescent="0.25">
      <c r="A109" t="s">
        <v>206</v>
      </c>
    </row>
    <row r="110" spans="1:1" x14ac:dyDescent="0.25">
      <c r="A110" t="s">
        <v>307</v>
      </c>
    </row>
    <row r="111" spans="1:1" x14ac:dyDescent="0.25">
      <c r="A111" t="s">
        <v>69</v>
      </c>
    </row>
    <row r="112" spans="1:1" x14ac:dyDescent="0.25">
      <c r="A112" t="s">
        <v>216</v>
      </c>
    </row>
    <row r="113" spans="1:1" x14ac:dyDescent="0.25">
      <c r="A113" t="s">
        <v>220</v>
      </c>
    </row>
    <row r="114" spans="1:1" x14ac:dyDescent="0.25">
      <c r="A114" t="s">
        <v>269</v>
      </c>
    </row>
    <row r="115" spans="1:1" x14ac:dyDescent="0.25">
      <c r="A115" t="s">
        <v>265</v>
      </c>
    </row>
    <row r="116" spans="1:1" x14ac:dyDescent="0.25">
      <c r="A116" t="s">
        <v>338</v>
      </c>
    </row>
    <row r="117" spans="1:1" x14ac:dyDescent="0.25">
      <c r="A117" t="s">
        <v>30</v>
      </c>
    </row>
    <row r="118" spans="1:1" x14ac:dyDescent="0.25">
      <c r="A118" t="s">
        <v>263</v>
      </c>
    </row>
    <row r="119" spans="1:1" x14ac:dyDescent="0.25">
      <c r="A119" t="s">
        <v>267</v>
      </c>
    </row>
    <row r="120" spans="1:1" x14ac:dyDescent="0.25">
      <c r="A120" t="s">
        <v>102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Fogli di lavoro</vt:lpstr>
      </vt:variant>
      <vt:variant>
        <vt:i4>2</vt:i4>
      </vt:variant>
    </vt:vector>
  </HeadingPairs>
  <TitlesOfParts>
    <vt:vector size="2" baseType="lpstr">
      <vt:lpstr>Requirements</vt:lpstr>
      <vt:lpstr>Foglio1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Carmine Ferrara</cp:lastModifiedBy>
  <dcterms:created xsi:type="dcterms:W3CDTF">2023-04-18T18:33:21Z</dcterms:created>
  <dcterms:modified xsi:type="dcterms:W3CDTF">2023-04-18T20:08:31Z</dcterms:modified>
</cp:coreProperties>
</file>